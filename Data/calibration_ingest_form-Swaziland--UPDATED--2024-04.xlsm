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SWZ_calibration/eSwatini/Data/"/>
    </mc:Choice>
  </mc:AlternateContent>
  <xr:revisionPtr revIDLastSave="0" documentId="13_ncr:1_{8653A1D2-0DE9-604A-9F1E-66D420AEA867}" xr6:coauthVersionLast="47" xr6:coauthVersionMax="47" xr10:uidLastSave="{00000000-0000-0000-0000-000000000000}"/>
  <bookViews>
    <workbookView xWindow="35680" yWindow="-1940" windowWidth="28780" windowHeight="19020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Parameters'!$B$2:$B$106</definedName>
    <definedName name="form_version" localSheetId="0">General!$G$1</definedName>
    <definedName name="gender_selection">Options!$D$2:$D$5</definedName>
    <definedName name="initial_value" localSheetId="2">'Model Parameters'!$C$2:$C$106</definedName>
    <definedName name="map_to" localSheetId="2">'Model Parameters'!$F$2:$F$106</definedName>
    <definedName name="max" localSheetId="2">'Model Parameters'!$E$2:$E$106</definedName>
    <definedName name="min" localSheetId="2">'Model Parameters'!$D$2:$D$106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Parameters'!$A$2:$A$106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0" i="14" l="1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9" i="14"/>
  <c r="S29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10" i="14"/>
  <c r="T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9" i="14"/>
  <c r="O15" i="14"/>
  <c r="O10" i="14"/>
  <c r="O25" i="14"/>
  <c r="O20" i="14"/>
  <c r="O9" i="14"/>
  <c r="H214" i="14"/>
  <c r="H215" i="14"/>
  <c r="H216" i="14"/>
  <c r="H217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H193" i="14"/>
  <c r="H194" i="14"/>
  <c r="H195" i="14"/>
  <c r="H196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H172" i="14"/>
  <c r="H173" i="14"/>
  <c r="H174" i="14"/>
  <c r="H175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H151" i="14"/>
  <c r="H152" i="14"/>
  <c r="H153" i="14"/>
  <c r="H154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H130" i="14"/>
  <c r="H131" i="14"/>
  <c r="H132" i="14"/>
  <c r="H133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93" i="14"/>
  <c r="H88" i="14"/>
  <c r="H89" i="14"/>
  <c r="H90" i="14"/>
  <c r="H91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72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51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30" i="14"/>
  <c r="K30" i="14"/>
  <c r="K29" i="14"/>
  <c r="O22" i="14" s="1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H26" i="14"/>
  <c r="H27" i="14"/>
  <c r="H28" i="14"/>
  <c r="H22" i="14"/>
  <c r="H18" i="14"/>
  <c r="H14" i="14"/>
  <c r="H12" i="14"/>
  <c r="H10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9" i="14"/>
  <c r="H11" i="14"/>
  <c r="H13" i="14"/>
  <c r="H15" i="14"/>
  <c r="H16" i="14"/>
  <c r="H17" i="14"/>
  <c r="H19" i="14"/>
  <c r="H20" i="14"/>
  <c r="H21" i="14"/>
  <c r="H23" i="14"/>
  <c r="H24" i="14"/>
  <c r="H25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9" i="14"/>
  <c r="O19" i="14" l="1"/>
  <c r="O12" i="14"/>
  <c r="O18" i="14"/>
  <c r="O13" i="14"/>
  <c r="O11" i="14"/>
  <c r="O14" i="14"/>
  <c r="O28" i="14"/>
  <c r="O24" i="14"/>
  <c r="O16" i="14"/>
  <c r="O27" i="14"/>
  <c r="O23" i="14"/>
  <c r="O21" i="14"/>
  <c r="O26" i="14"/>
  <c r="O17" i="14"/>
  <c r="K134" i="14"/>
  <c r="K218" i="14"/>
  <c r="K176" i="14"/>
  <c r="K71" i="14"/>
  <c r="K113" i="14"/>
  <c r="M113" i="14" s="1"/>
  <c r="K92" i="14"/>
  <c r="M92" i="14" s="1"/>
  <c r="K155" i="14"/>
  <c r="K197" i="14"/>
  <c r="K50" i="14"/>
  <c r="H3" i="3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<sst xmlns="http://schemas.openxmlformats.org/spreadsheetml/2006/main" count="1248" uniqueCount="279">
  <si>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</si>
  <si>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</si>
  <si>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</si>
  <si>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</si>
  <si>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</si>
  <si>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</si>
  <si>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</si>
  <si>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</si>
  <si>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</si>
  <si>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</si>
  <si>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</si>
  <si>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</si>
  <si>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</si>
  <si>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</si>
  <si>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</si>
  <si>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</si>
  <si>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</si>
  <si>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</si>
  <si>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</si>
  <si>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</si>
  <si>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</si>
  <si>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</si>
  <si>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</si>
  <si>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</si>
  <si>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</si>
  <si>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</si>
  <si>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</si>
  <si>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</si>
  <si>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</si>
  <si>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</si>
  <si>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</si>
  <si>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</si>
  <si>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</si>
  <si>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</si>
  <si>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</si>
  <si>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</si>
  <si>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</si>
  <si>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</si>
  <si>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</si>
  <si>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</si>
  <si>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</si>
  <si>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</si>
  <si>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</si>
  <si>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</si>
  <si>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</si>
  <si>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</si>
  <si>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</si>
  <si>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</si>
  <si>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</si>
  <si>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</si>
  <si>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</si>
  <si>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</si>
  <si>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</si>
  <si>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</si>
  <si>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</si>
  <si>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</si>
  <si>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</si>
  <si>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</si>
  <si>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</si>
  <si>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</si>
  <si>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</si>
  <si>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</si>
  <si>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</si>
  <si>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</si>
  <si>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</si>
  <si>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</si>
  <si>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</si>
  <si>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</si>
  <si>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</si>
  <si>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</si>
  <si>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</si>
  <si>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</si>
  <si>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</si>
  <si>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</si>
  <si>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</si>
  <si>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</si>
  <si>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</si>
  <si>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</si>
  <si>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</si>
  <si>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</si>
  <si>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</si>
  <si>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</si>
  <si>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</si>
  <si>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</si>
  <si>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</si>
  <si>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</si>
  <si>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</si>
  <si>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</si>
  <si>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</si>
  <si>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</si>
  <si>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</si>
  <si>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</si>
  <si>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</si>
  <si>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</si>
  <si>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</si>
  <si>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</si>
  <si>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</si>
  <si>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</si>
  <si>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</si>
  <si>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</si>
  <si>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</si>
  <si>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</si>
  <si>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</si>
  <si>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</si>
  <si>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</si>
  <si>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</si>
  <si>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</si>
  <si>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</si>
  <si>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</si>
  <si>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</si>
  <si>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</si>
  <si>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</si>
  <si>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</si>
  <si>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</si>
  <si>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</si>
  <si>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</si>
  <si>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</si>
  <si>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</si>
  <si>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</si>
  <si>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</si>
  <si>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</si>
  <si>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</si>
  <si>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</si>
  <si>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</si>
  <si>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</si>
  <si>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</si>
  <si>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</si>
  <si>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</si>
  <si>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</si>
  <si>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</si>
  <si>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</si>
  <si>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</si>
  <si>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</si>
  <si>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</si>
  <si>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</si>
  <si>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</si>
  <si>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</si>
  <si>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</si>
  <si>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</si>
  <si>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</si>
  <si>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</si>
  <si>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</si>
  <si>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</si>
  <si>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</si>
  <si>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</si>
  <si>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</si>
  <si>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</si>
  <si>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</si>
  <si>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</si>
  <si>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</si>
  <si>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</si>
  <si>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</si>
  <si>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</si>
  <si>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</si>
  <si>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</si>
  <si>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</si>
  <si>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</si>
  <si>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</si>
  <si>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</si>
  <si>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</si>
  <si>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</si>
  <si>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</si>
  <si>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</si>
  <si>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</si>
  <si>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</si>
  <si>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</si>
  <si>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</si>
  <si>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</si>
  <si>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</si>
  <si>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</si>
  <si>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</si>
  <si>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</si>
  <si>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</si>
  <si>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</si>
  <si>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</si>
  <si>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</si>
  <si>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</si>
  <si>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</si>
  <si>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</si>
  <si>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</si>
  <si>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</si>
  <si>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</si>
  <si>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</si>
  <si>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</si>
  <si>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</si>
  <si>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</si>
  <si>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</si>
  <si>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</si>
  <si>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</si>
  <si>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</si>
  <si>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</si>
  <si>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</si>
  <si>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</si>
  <si>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</si>
  <si>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</si>
  <si>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</si>
  <si>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</si>
  <si>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</si>
  <si>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</si>
  <si>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</si>
  <si>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</si>
  <si>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</si>
  <si>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</si>
  <si>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</si>
  <si>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</si>
  <si>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</si>
  <si>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</si>
  <si>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</si>
  <si>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</si>
  <si>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</si>
  <si>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</si>
  <si>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</si>
  <si>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</si>
  <si>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</si>
  <si>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</si>
  <si>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</si>
  <si>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</si>
  <si>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</si>
  <si>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</si>
  <si>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</si>
  <si>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</si>
  <si>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</si>
  <si>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</si>
  <si>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</si>
  <si>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</si>
  <si>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</si>
  <si>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</si>
  <si>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</si>
  <si>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</si>
  <si>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</si>
  <si>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</si>
  <si>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</si>
  <si>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</si>
  <si>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</si>
  <si>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</si>
  <si>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</si>
  <si>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</si>
  <si>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</si>
  <si>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</si>
  <si>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</si>
  <si>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</si>
  <si>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</si>
  <si>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</si>
  <si>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</si>
  <si>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</si>
  <si>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</si>
  <si>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</si>
  <si>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</si>
  <si>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</si>
  <si>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</si>
  <si>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</si>
  <si>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</si>
  <si>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</si>
  <si>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</si>
  <si>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[80:85)</t>
  </si>
  <si>
    <t>[85:90)</t>
  </si>
  <si>
    <t>[90:95)</t>
  </si>
  <si>
    <t>[95:99)</t>
  </si>
  <si>
    <t>2023-11-28: Note from DTCitron</t>
  </si>
  <si>
    <t>These data are from the UN WPP Population by Age</t>
  </si>
  <si>
    <t>I am replacing the old population by age data, which were 10% too big and unsourced</t>
  </si>
  <si>
    <t>Male Pop Distn, 1960</t>
  </si>
  <si>
    <t>Female Pop Distn 1960</t>
  </si>
  <si>
    <t>Total Pop, 1960</t>
  </si>
  <si>
    <t>Cumulative Pop</t>
  </si>
  <si>
    <t>Cumulative distn</t>
  </si>
  <si>
    <t>[65:99)</t>
  </si>
  <si>
    <t>[0:99)</t>
  </si>
  <si>
    <t>SeedYrHIGH</t>
  </si>
  <si>
    <t>Demographic_Coverage__KP_Seeding</t>
  </si>
  <si>
    <t>Start_Year__KP_Seeding_Year_Female_15_24</t>
  </si>
  <si>
    <t>Demographic_Coverage__KP_Seeding_Female_15_24</t>
  </si>
  <si>
    <t>Demographic_Coverage_HIGH</t>
  </si>
  <si>
    <t>SeedYrAGYW_MED</t>
  </si>
  <si>
    <t>Demographic_Coverage_AGYW_MED</t>
  </si>
  <si>
    <t>Start_Year__KP_Seeding_Year_Male_15_24</t>
  </si>
  <si>
    <t>Demographic_Coverage__KP_Seeding_Male_15_24</t>
  </si>
  <si>
    <t>SeedYrAGYM_MED</t>
  </si>
  <si>
    <t>Demographic_Coverage_AGYM_MED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</si>
</sst>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2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Parameters'!B2:B106,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Parameters'!B2:B106, TRUE)</f>
        <v>47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7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>
      <selection activeCell="B9" sqref="B9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186</v>
      </c>
    </row>
    <row r="8" spans="1:13" x14ac:dyDescent="0.2">
      <c r="A8" s="8" t="s">
        <v>85</v>
      </c>
      <c r="B8" s="5">
        <v>1148000</v>
      </c>
    </row>
    <row r="9" spans="1:13" x14ac:dyDescent="0.2">
      <c r="A9" s="8" t="s">
        <v>86</v>
      </c>
      <c r="B9" s="6">
        <v>2019</v>
      </c>
    </row>
    <row r="10" spans="1:13" x14ac:dyDescent="0.2">
      <c r="A10" s="8" t="s">
        <v>87</v>
      </c>
      <c r="B10" s="5" t="s">
        <v>267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186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194</v>
      </c>
    </row>
    <row r="17" spans="1:1" x14ac:dyDescent="0.2">
      <c r="A17" s="36" t="s">
        <v>195</v>
      </c>
    </row>
    <row r="18" spans="1:1" x14ac:dyDescent="0.2">
      <c r="A18" s="36" t="s">
        <v>193</v>
      </c>
    </row>
    <row r="20" spans="1:1" x14ac:dyDescent="0.2">
      <c r="A20" t="s">
        <v>246</v>
      </c>
    </row>
    <row r="21" spans="1:1" x14ac:dyDescent="0.2">
      <c r="A21" t="s">
        <v>247</v>
      </c>
    </row>
    <row r="22" spans="1:1" x14ac:dyDescent="0.2">
      <c r="A22" t="s">
        <v>248</v>
      </c>
    </row>
    <row r="27" spans="1:1" x14ac:dyDescent="0.2">
      <c r="A27" s="49" t="s">
        <v>244</v>
      </c>
    </row>
    <row r="28" spans="1:1" x14ac:dyDescent="0.2">
      <c r="A28" s="49" t="s">
        <v>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6"/>
  <sheetViews>
    <sheetView tabSelected="1" workbookViewId="0">
      <selection activeCell="E11" sqref="E11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8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2">
      <c r="A2" s="3" t="s">
        <v>268</v>
      </c>
      <c r="B2" s="4" t="b">
        <v>1</v>
      </c>
      <c r="C2" s="50">
        <v>1983</v>
      </c>
      <c r="D2" s="4">
        <v>1980</v>
      </c>
      <c r="E2" s="3">
        <v>1990</v>
      </c>
      <c r="F2" s="4" t="s">
        <v>100</v>
      </c>
      <c r="G2" s="37" t="s">
        <v>194</v>
      </c>
    </row>
    <row r="3" spans="1:8" x14ac:dyDescent="0.2">
      <c r="A3" s="3" t="s">
        <v>272</v>
      </c>
      <c r="B3" s="4" t="b">
        <v>1</v>
      </c>
      <c r="C3" s="50">
        <v>0.1</v>
      </c>
      <c r="D3" s="4">
        <v>0.05</v>
      </c>
      <c r="E3" s="3">
        <v>0.2</v>
      </c>
      <c r="F3" s="4" t="s">
        <v>269</v>
      </c>
      <c r="G3" s="37"/>
    </row>
    <row r="4" spans="1:8" x14ac:dyDescent="0.2">
      <c r="A4" s="3" t="s">
        <v>273</v>
      </c>
      <c r="B4" s="4" t="b">
        <v>1</v>
      </c>
      <c r="C4" s="50">
        <v>1983</v>
      </c>
      <c r="D4" s="4">
        <v>1980</v>
      </c>
      <c r="E4" s="3">
        <v>1990</v>
      </c>
      <c r="F4" s="4" t="s">
        <v>270</v>
      </c>
      <c r="G4" s="37"/>
    </row>
    <row r="5" spans="1:8" x14ac:dyDescent="0.2">
      <c r="A5" s="3" t="s">
        <v>274</v>
      </c>
      <c r="B5" s="4" t="b">
        <v>1</v>
      </c>
      <c r="C5" s="50">
        <v>0.1</v>
      </c>
      <c r="D5" s="4">
        <v>0.05</v>
      </c>
      <c r="E5" s="3">
        <v>0.2</v>
      </c>
      <c r="F5" s="4" t="s">
        <v>271</v>
      </c>
      <c r="G5" s="37"/>
    </row>
    <row r="6" spans="1:8" x14ac:dyDescent="0.2">
      <c r="A6" s="3" t="s">
        <v>277</v>
      </c>
      <c r="B6" s="4" t="b">
        <v>1</v>
      </c>
      <c r="C6" s="50">
        <v>1983</v>
      </c>
      <c r="D6" s="4">
        <v>1980</v>
      </c>
      <c r="E6" s="3">
        <v>1990</v>
      </c>
      <c r="F6" s="4" t="s">
        <v>275</v>
      </c>
      <c r="G6" s="37"/>
    </row>
    <row r="7" spans="1:8" x14ac:dyDescent="0.2">
      <c r="A7" s="3" t="s">
        <v>278</v>
      </c>
      <c r="B7" s="4" t="b">
        <v>1</v>
      </c>
      <c r="C7" s="50">
        <v>0.1</v>
      </c>
      <c r="D7" s="4">
        <v>0.05</v>
      </c>
      <c r="E7" s="3">
        <v>0.2</v>
      </c>
      <c r="F7" s="4" t="s">
        <v>276</v>
      </c>
      <c r="G7" s="37"/>
    </row>
    <row r="8" spans="1:8" x14ac:dyDescent="0.2">
      <c r="A8" s="3" t="s">
        <v>101</v>
      </c>
      <c r="B8" s="4" t="b">
        <v>1</v>
      </c>
      <c r="C8" s="50">
        <v>2.3500000000000001E-3</v>
      </c>
      <c r="D8" s="4">
        <v>2E-3</v>
      </c>
      <c r="E8" s="3">
        <v>3.0000000000000001E-3</v>
      </c>
      <c r="F8" s="4" t="s">
        <v>102</v>
      </c>
      <c r="G8" s="36" t="s">
        <v>195</v>
      </c>
    </row>
    <row r="9" spans="1:8" x14ac:dyDescent="0.2">
      <c r="A9" s="3" t="s">
        <v>103</v>
      </c>
      <c r="B9" s="4" t="b">
        <v>1</v>
      </c>
      <c r="C9" s="50">
        <v>0.6</v>
      </c>
      <c r="D9" s="4">
        <v>0.4</v>
      </c>
      <c r="E9" s="3">
        <v>0.9</v>
      </c>
      <c r="F9" s="4" t="s">
        <v>104</v>
      </c>
      <c r="G9" s="36" t="s">
        <v>196</v>
      </c>
    </row>
    <row r="10" spans="1:8" x14ac:dyDescent="0.2">
      <c r="A10" s="3" t="s">
        <v>105</v>
      </c>
      <c r="B10" s="4" t="b">
        <v>1</v>
      </c>
      <c r="C10" s="50">
        <v>16.076845590000001</v>
      </c>
      <c r="D10" s="4">
        <v>14</v>
      </c>
      <c r="E10" s="3">
        <v>18</v>
      </c>
      <c r="F10" s="4" t="s">
        <v>106</v>
      </c>
      <c r="G10" t="s">
        <v>249</v>
      </c>
    </row>
    <row r="11" spans="1:8" x14ac:dyDescent="0.2">
      <c r="A11" s="3" t="s">
        <v>107</v>
      </c>
      <c r="B11" s="4" t="b">
        <v>1</v>
      </c>
      <c r="C11" s="50">
        <v>0.31785861700000001</v>
      </c>
      <c r="D11" s="4">
        <v>0.1</v>
      </c>
      <c r="E11" s="3">
        <v>0.5</v>
      </c>
      <c r="F11" s="4" t="s">
        <v>108</v>
      </c>
      <c r="G11" s="11"/>
      <c r="H11" s="49"/>
    </row>
    <row r="12" spans="1:8" x14ac:dyDescent="0.2">
      <c r="A12" s="3" t="s">
        <v>109</v>
      </c>
      <c r="B12" s="4" t="b">
        <v>1</v>
      </c>
      <c r="C12" s="50">
        <v>17.369568810000001</v>
      </c>
      <c r="D12" s="4">
        <v>15</v>
      </c>
      <c r="E12" s="3">
        <v>21</v>
      </c>
      <c r="F12" s="4" t="s">
        <v>110</v>
      </c>
      <c r="G12" s="11"/>
      <c r="H12" s="43" t="s">
        <v>198</v>
      </c>
    </row>
    <row r="13" spans="1:8" x14ac:dyDescent="0.2">
      <c r="A13" s="3" t="s">
        <v>111</v>
      </c>
      <c r="B13" s="4" t="b">
        <v>1</v>
      </c>
      <c r="C13" s="50">
        <v>4.3005807E-2</v>
      </c>
      <c r="D13" s="4">
        <v>0.04</v>
      </c>
      <c r="E13" s="3">
        <v>0.3</v>
      </c>
      <c r="F13" s="4" t="s">
        <v>112</v>
      </c>
      <c r="G13" s="11"/>
      <c r="H13" s="44"/>
    </row>
    <row r="14" spans="1:8" x14ac:dyDescent="0.2">
      <c r="A14" s="3" t="s">
        <v>113</v>
      </c>
      <c r="B14" s="4" t="b">
        <v>1</v>
      </c>
      <c r="C14" s="50">
        <v>1.3698599999999999E-4</v>
      </c>
      <c r="D14" s="4">
        <v>1.2999999999999999E-4</v>
      </c>
      <c r="E14" s="3">
        <v>2.7397260273972599E-3</v>
      </c>
      <c r="F14" s="4" t="s">
        <v>215</v>
      </c>
      <c r="G14" s="11"/>
      <c r="H14" s="43" t="s">
        <v>199</v>
      </c>
    </row>
    <row r="15" spans="1:8" x14ac:dyDescent="0.2">
      <c r="A15" s="3" t="s">
        <v>114</v>
      </c>
      <c r="B15" s="4" t="b">
        <v>1</v>
      </c>
      <c r="C15" s="51">
        <v>1.2093760000000001E-3</v>
      </c>
      <c r="D15" s="16">
        <v>1E-3</v>
      </c>
      <c r="E15" s="3">
        <v>4.0000000000000001E-3</v>
      </c>
      <c r="F15" s="4" t="s">
        <v>216</v>
      </c>
      <c r="H15" s="44"/>
    </row>
    <row r="16" spans="1:8" x14ac:dyDescent="0.2">
      <c r="A16" s="3" t="s">
        <v>115</v>
      </c>
      <c r="B16" s="4" t="b">
        <v>1</v>
      </c>
      <c r="C16" s="51">
        <v>4.6518999999999998E-4</v>
      </c>
      <c r="D16" s="16">
        <v>0</v>
      </c>
      <c r="E16" s="3">
        <v>1E-3</v>
      </c>
      <c r="F16" s="4" t="s">
        <v>217</v>
      </c>
      <c r="H16" s="43" t="s">
        <v>200</v>
      </c>
    </row>
    <row r="17" spans="1:13" x14ac:dyDescent="0.2">
      <c r="A17" s="3" t="s">
        <v>116</v>
      </c>
      <c r="B17" s="4" t="b">
        <v>1</v>
      </c>
      <c r="C17" s="50">
        <v>4.9241661169999897</v>
      </c>
      <c r="D17" s="4">
        <v>1</v>
      </c>
      <c r="E17" s="3">
        <v>8</v>
      </c>
      <c r="F17" s="4"/>
    </row>
    <row r="18" spans="1:13" x14ac:dyDescent="0.2">
      <c r="A18" s="3" t="s">
        <v>117</v>
      </c>
      <c r="B18" s="4" t="b">
        <v>1</v>
      </c>
      <c r="C18" s="50">
        <v>2.6992051629999998</v>
      </c>
      <c r="D18" s="4">
        <v>1</v>
      </c>
      <c r="E18" s="3">
        <v>4</v>
      </c>
      <c r="F18" s="4"/>
      <c r="H18" t="s">
        <v>243</v>
      </c>
    </row>
    <row r="19" spans="1:13" x14ac:dyDescent="0.2">
      <c r="A19" s="3" t="s">
        <v>118</v>
      </c>
      <c r="B19" s="4" t="b">
        <v>1</v>
      </c>
      <c r="C19" s="50">
        <v>1995.821105</v>
      </c>
      <c r="D19" s="4">
        <v>1995</v>
      </c>
      <c r="E19" s="3">
        <v>2005</v>
      </c>
      <c r="F19" s="4" t="s">
        <v>212</v>
      </c>
      <c r="H19" s="3" t="s">
        <v>150</v>
      </c>
      <c r="I19" s="4" t="b">
        <v>1</v>
      </c>
      <c r="J19" s="3">
        <v>0</v>
      </c>
      <c r="K19" s="4">
        <v>0</v>
      </c>
      <c r="L19" s="3">
        <v>0.8</v>
      </c>
      <c r="M19" s="4" t="s">
        <v>211</v>
      </c>
    </row>
    <row r="20" spans="1:13" x14ac:dyDescent="0.2">
      <c r="A20" s="3" t="s">
        <v>119</v>
      </c>
      <c r="B20" s="4" t="b">
        <v>1</v>
      </c>
      <c r="C20" s="50">
        <v>2.9403394039999999</v>
      </c>
      <c r="D20" s="4">
        <v>1.5</v>
      </c>
      <c r="E20" s="3">
        <v>5</v>
      </c>
      <c r="F20" s="4" t="s">
        <v>213</v>
      </c>
      <c r="H20" s="3" t="s">
        <v>151</v>
      </c>
      <c r="I20" s="4" t="b">
        <v>1</v>
      </c>
      <c r="J20" s="3">
        <v>0.8</v>
      </c>
      <c r="K20" s="4">
        <v>0.4</v>
      </c>
      <c r="L20" s="3">
        <v>1</v>
      </c>
      <c r="M20" s="4" t="s">
        <v>210</v>
      </c>
    </row>
    <row r="21" spans="1:13" x14ac:dyDescent="0.2">
      <c r="A21" s="3" t="s">
        <v>251</v>
      </c>
      <c r="B21" s="4" t="b">
        <v>1</v>
      </c>
      <c r="C21" s="50">
        <v>0.144130487</v>
      </c>
      <c r="D21" s="4">
        <v>0.1</v>
      </c>
      <c r="E21" s="3">
        <v>0.8</v>
      </c>
      <c r="F21" s="4" t="s">
        <v>146</v>
      </c>
      <c r="H21" s="3" t="s">
        <v>152</v>
      </c>
      <c r="I21" s="4" t="b">
        <v>1</v>
      </c>
      <c r="J21" s="3">
        <v>1995.78</v>
      </c>
      <c r="K21" s="4">
        <v>1990</v>
      </c>
      <c r="L21" s="3">
        <v>2010</v>
      </c>
      <c r="M21" s="4" t="s">
        <v>153</v>
      </c>
    </row>
    <row r="22" spans="1:13" x14ac:dyDescent="0.2">
      <c r="A22" s="3" t="s">
        <v>120</v>
      </c>
      <c r="B22" s="4" t="b">
        <v>1</v>
      </c>
      <c r="C22" s="50">
        <v>1995.8</v>
      </c>
      <c r="D22" s="4">
        <v>1995</v>
      </c>
      <c r="E22" s="3">
        <v>2005</v>
      </c>
      <c r="F22" s="4" t="s">
        <v>214</v>
      </c>
      <c r="H22" s="3" t="s">
        <v>208</v>
      </c>
      <c r="I22" s="4" t="b">
        <v>1</v>
      </c>
      <c r="J22" s="3">
        <v>0.7</v>
      </c>
      <c r="K22" s="4">
        <v>0.5</v>
      </c>
      <c r="L22" s="3">
        <v>1</v>
      </c>
      <c r="M22" s="4" t="s">
        <v>204</v>
      </c>
    </row>
    <row r="23" spans="1:13" x14ac:dyDescent="0.2">
      <c r="A23" s="3" t="s">
        <v>121</v>
      </c>
      <c r="B23" s="4" t="b">
        <v>1</v>
      </c>
      <c r="C23" s="50">
        <v>2.85590521</v>
      </c>
      <c r="D23" s="4">
        <v>2</v>
      </c>
      <c r="E23" s="3">
        <v>4</v>
      </c>
      <c r="F23" s="4" t="s">
        <v>218</v>
      </c>
      <c r="H23" s="3" t="s">
        <v>209</v>
      </c>
      <c r="I23" s="4" t="b">
        <v>1</v>
      </c>
      <c r="J23" s="3">
        <v>2010.623</v>
      </c>
      <c r="K23" s="4">
        <v>2005</v>
      </c>
      <c r="L23" s="3">
        <v>2015</v>
      </c>
      <c r="M23" s="4" t="s">
        <v>205</v>
      </c>
    </row>
    <row r="24" spans="1:13" x14ac:dyDescent="0.2">
      <c r="A24" s="3" t="s">
        <v>250</v>
      </c>
      <c r="B24" s="4" t="b">
        <v>1</v>
      </c>
      <c r="C24" s="50">
        <v>0.35761823399999998</v>
      </c>
      <c r="D24" s="4">
        <v>0.2</v>
      </c>
      <c r="E24" s="3">
        <v>0.5</v>
      </c>
      <c r="F24" s="4" t="s">
        <v>148</v>
      </c>
    </row>
    <row r="25" spans="1:13" x14ac:dyDescent="0.2">
      <c r="A25" s="3" t="s">
        <v>122</v>
      </c>
      <c r="B25" s="4" t="b">
        <v>1</v>
      </c>
      <c r="C25" s="50">
        <v>2001.476259</v>
      </c>
      <c r="D25" s="4">
        <v>1995</v>
      </c>
      <c r="E25" s="3">
        <v>2005</v>
      </c>
      <c r="F25" s="4" t="s">
        <v>219</v>
      </c>
    </row>
    <row r="26" spans="1:13" x14ac:dyDescent="0.2">
      <c r="A26" s="3" t="s">
        <v>123</v>
      </c>
      <c r="B26" s="4" t="b">
        <v>1</v>
      </c>
      <c r="C26" s="50">
        <v>1.9307449000000001</v>
      </c>
      <c r="D26" s="4">
        <v>1</v>
      </c>
      <c r="E26" s="3">
        <v>5</v>
      </c>
      <c r="F26" s="4" t="s">
        <v>220</v>
      </c>
    </row>
    <row r="27" spans="1:13" x14ac:dyDescent="0.2">
      <c r="A27" s="3" t="s">
        <v>124</v>
      </c>
      <c r="B27" s="4" t="b">
        <v>1</v>
      </c>
      <c r="C27" s="50">
        <v>0.196790993</v>
      </c>
      <c r="D27" s="4">
        <v>0.1</v>
      </c>
      <c r="E27" s="3">
        <v>0.5</v>
      </c>
      <c r="F27" s="4" t="s">
        <v>221</v>
      </c>
    </row>
    <row r="28" spans="1:13" x14ac:dyDescent="0.2">
      <c r="A28" s="3" t="s">
        <v>125</v>
      </c>
      <c r="B28" s="4" t="b">
        <v>1</v>
      </c>
      <c r="C28" s="50">
        <v>0.60977670839999998</v>
      </c>
      <c r="D28" s="4">
        <v>0.05</v>
      </c>
      <c r="E28" s="3">
        <v>0.95</v>
      </c>
      <c r="F28" s="4"/>
    </row>
    <row r="29" spans="1:13" x14ac:dyDescent="0.2">
      <c r="A29" s="3" t="s">
        <v>126</v>
      </c>
      <c r="B29" s="4" t="b">
        <v>1</v>
      </c>
      <c r="C29" s="50">
        <v>0.259776922326166</v>
      </c>
      <c r="D29" s="4">
        <v>0</v>
      </c>
      <c r="E29" s="3">
        <v>0.5</v>
      </c>
      <c r="F29" s="4" t="s">
        <v>224</v>
      </c>
      <c r="H29" s="43" t="s">
        <v>199</v>
      </c>
    </row>
    <row r="30" spans="1:13" x14ac:dyDescent="0.2">
      <c r="A30" s="3" t="s">
        <v>127</v>
      </c>
      <c r="B30" s="4" t="b">
        <v>1</v>
      </c>
      <c r="C30" s="50">
        <v>0.58763420607197403</v>
      </c>
      <c r="D30" s="4">
        <v>0</v>
      </c>
      <c r="E30" s="3">
        <v>0.8</v>
      </c>
      <c r="F30" s="4" t="s">
        <v>225</v>
      </c>
      <c r="H30" s="44"/>
    </row>
    <row r="31" spans="1:13" x14ac:dyDescent="0.2">
      <c r="A31" s="3" t="s">
        <v>128</v>
      </c>
      <c r="B31" s="4" t="b">
        <v>1</v>
      </c>
      <c r="C31" s="50">
        <v>0.13701492442451901</v>
      </c>
      <c r="D31" s="4">
        <v>0</v>
      </c>
      <c r="E31" s="3">
        <v>0.25</v>
      </c>
      <c r="F31" s="4" t="s">
        <v>226</v>
      </c>
      <c r="H31" s="44"/>
    </row>
    <row r="32" spans="1:13" x14ac:dyDescent="0.2">
      <c r="A32" s="3" t="s">
        <v>129</v>
      </c>
      <c r="B32" s="4" t="b">
        <v>1</v>
      </c>
      <c r="C32" s="50">
        <v>0.58373162348898</v>
      </c>
      <c r="D32" s="4">
        <v>0</v>
      </c>
      <c r="E32" s="3">
        <v>0.8</v>
      </c>
      <c r="F32" s="4" t="s">
        <v>227</v>
      </c>
      <c r="H32" s="44"/>
    </row>
    <row r="33" spans="1:22" x14ac:dyDescent="0.2">
      <c r="A33" s="3" t="s">
        <v>130</v>
      </c>
      <c r="B33" s="4" t="b">
        <v>1</v>
      </c>
      <c r="C33" s="50">
        <v>0.53276521816462297</v>
      </c>
      <c r="D33" s="4">
        <v>0.4</v>
      </c>
      <c r="E33" s="3">
        <v>0.8</v>
      </c>
      <c r="F33" s="4" t="s">
        <v>232</v>
      </c>
      <c r="H33" s="44"/>
    </row>
    <row r="34" spans="1:22" x14ac:dyDescent="0.2">
      <c r="A34" s="3" t="s">
        <v>131</v>
      </c>
      <c r="B34" s="4" t="b">
        <v>1</v>
      </c>
      <c r="C34" s="50">
        <v>0</v>
      </c>
      <c r="D34" s="4">
        <v>0</v>
      </c>
      <c r="E34" s="3">
        <v>0.5</v>
      </c>
      <c r="F34" s="4" t="s">
        <v>252</v>
      </c>
      <c r="H34" s="44"/>
      <c r="I34" t="s">
        <v>253</v>
      </c>
    </row>
    <row r="35" spans="1:22" x14ac:dyDescent="0.2">
      <c r="A35" s="3" t="s">
        <v>132</v>
      </c>
      <c r="B35" s="4" t="b">
        <v>1</v>
      </c>
      <c r="C35" s="50">
        <v>1.50091396049074</v>
      </c>
      <c r="D35" s="4">
        <v>0.9</v>
      </c>
      <c r="E35" s="3">
        <v>2</v>
      </c>
      <c r="F35" s="4" t="s">
        <v>228</v>
      </c>
      <c r="H35" s="44"/>
    </row>
    <row r="36" spans="1:22" x14ac:dyDescent="0.2">
      <c r="A36" s="3" t="s">
        <v>133</v>
      </c>
      <c r="B36" s="4" t="b">
        <v>1</v>
      </c>
      <c r="C36" s="50">
        <v>1.50091396049074</v>
      </c>
      <c r="D36" s="4">
        <v>0.9</v>
      </c>
      <c r="E36" s="3">
        <v>2</v>
      </c>
      <c r="F36" s="4" t="s">
        <v>229</v>
      </c>
      <c r="H36" s="44"/>
    </row>
    <row r="37" spans="1:22" x14ac:dyDescent="0.2">
      <c r="A37" s="3" t="s">
        <v>134</v>
      </c>
      <c r="B37" s="4" t="b">
        <v>1</v>
      </c>
      <c r="C37" s="50">
        <v>1.60520793644613</v>
      </c>
      <c r="D37" s="4">
        <v>0.9</v>
      </c>
      <c r="E37" s="3">
        <v>2</v>
      </c>
      <c r="F37" s="4" t="s">
        <v>233</v>
      </c>
      <c r="H37" s="44"/>
    </row>
    <row r="38" spans="1:22" x14ac:dyDescent="0.2">
      <c r="A38" s="3" t="s">
        <v>135</v>
      </c>
      <c r="B38" s="4" t="b">
        <v>1</v>
      </c>
      <c r="C38" s="50">
        <v>1.60520793644613</v>
      </c>
      <c r="D38" s="4">
        <v>0.9</v>
      </c>
      <c r="E38" s="3">
        <v>2</v>
      </c>
      <c r="F38" s="4" t="s">
        <v>234</v>
      </c>
      <c r="H38" s="44"/>
    </row>
    <row r="39" spans="1:22" x14ac:dyDescent="0.2">
      <c r="A39" s="3" t="s">
        <v>136</v>
      </c>
      <c r="B39" s="4" t="b">
        <v>1</v>
      </c>
      <c r="C39" s="50">
        <v>0.37086485516189799</v>
      </c>
      <c r="D39" s="4">
        <v>0</v>
      </c>
      <c r="E39" s="3">
        <v>0.5</v>
      </c>
      <c r="F39" s="4" t="s">
        <v>235</v>
      </c>
      <c r="H39" s="44"/>
    </row>
    <row r="40" spans="1:22" x14ac:dyDescent="0.2">
      <c r="A40" s="3" t="s">
        <v>137</v>
      </c>
      <c r="B40" s="4" t="b">
        <v>1</v>
      </c>
      <c r="C40" s="50">
        <v>0.5</v>
      </c>
      <c r="D40" s="4">
        <v>0.4</v>
      </c>
      <c r="E40" s="3">
        <v>0.9</v>
      </c>
      <c r="F40" s="4" t="s">
        <v>236</v>
      </c>
      <c r="H40" s="44"/>
    </row>
    <row r="41" spans="1:22" x14ac:dyDescent="0.2">
      <c r="A41" s="3" t="s">
        <v>138</v>
      </c>
      <c r="B41" s="4" t="b">
        <v>1</v>
      </c>
      <c r="C41" s="50">
        <v>2.7383686829433498</v>
      </c>
      <c r="D41" s="4">
        <v>0.9</v>
      </c>
      <c r="E41" s="3">
        <v>3</v>
      </c>
      <c r="F41" s="4" t="s">
        <v>230</v>
      </c>
      <c r="H41" s="44"/>
    </row>
    <row r="42" spans="1:22" x14ac:dyDescent="0.2">
      <c r="A42" s="3" t="s">
        <v>139</v>
      </c>
      <c r="B42" s="4" t="b">
        <v>1</v>
      </c>
      <c r="C42" s="50">
        <v>2.7383686829433498</v>
      </c>
      <c r="D42" s="4">
        <v>0.9</v>
      </c>
      <c r="E42" s="3">
        <v>3</v>
      </c>
      <c r="F42" s="4" t="s">
        <v>231</v>
      </c>
      <c r="H42" s="44"/>
    </row>
    <row r="43" spans="1:22" x14ac:dyDescent="0.2">
      <c r="A43" s="3" t="s">
        <v>140</v>
      </c>
      <c r="B43" s="4" t="b">
        <v>1</v>
      </c>
      <c r="C43" s="50">
        <v>0.91568842742491696</v>
      </c>
      <c r="D43" s="4">
        <v>0.9</v>
      </c>
      <c r="E43" s="3">
        <v>3</v>
      </c>
      <c r="F43" s="4" t="s">
        <v>237</v>
      </c>
      <c r="H43" s="44"/>
    </row>
    <row r="44" spans="1:22" x14ac:dyDescent="0.2">
      <c r="A44" s="3" t="s">
        <v>141</v>
      </c>
      <c r="B44" s="4" t="b">
        <v>1</v>
      </c>
      <c r="C44" s="50">
        <v>0.91568842742491696</v>
      </c>
      <c r="D44" s="4">
        <v>0.9</v>
      </c>
      <c r="E44" s="3">
        <v>3</v>
      </c>
      <c r="F44" s="4" t="s">
        <v>238</v>
      </c>
      <c r="H44" s="44"/>
    </row>
    <row r="45" spans="1:22" x14ac:dyDescent="0.2">
      <c r="A45" s="3" t="s">
        <v>142</v>
      </c>
      <c r="B45" s="4" t="b">
        <v>1</v>
      </c>
      <c r="C45" s="50">
        <v>0.9</v>
      </c>
      <c r="D45" s="4">
        <v>0.9</v>
      </c>
      <c r="E45" s="3">
        <v>2</v>
      </c>
      <c r="F45" s="4" t="s">
        <v>239</v>
      </c>
      <c r="H45" s="44"/>
    </row>
    <row r="46" spans="1:22" x14ac:dyDescent="0.2">
      <c r="A46" s="3" t="s">
        <v>143</v>
      </c>
      <c r="B46" s="4" t="b">
        <v>1</v>
      </c>
      <c r="C46" s="50">
        <v>0.9</v>
      </c>
      <c r="D46" s="4">
        <v>0.9</v>
      </c>
      <c r="E46" s="3">
        <v>2</v>
      </c>
      <c r="F46" s="4" t="s">
        <v>240</v>
      </c>
      <c r="H46" s="43" t="s">
        <v>200</v>
      </c>
    </row>
    <row r="47" spans="1:22" x14ac:dyDescent="0.2">
      <c r="A47" s="3" t="s">
        <v>144</v>
      </c>
      <c r="B47" s="4" t="b">
        <v>1</v>
      </c>
      <c r="C47" s="50">
        <v>0.75</v>
      </c>
      <c r="D47" s="4">
        <v>1E-4</v>
      </c>
      <c r="E47" s="3">
        <v>0.99990000000000001</v>
      </c>
      <c r="F47" s="4" t="s">
        <v>201</v>
      </c>
      <c r="H47" s="45" t="s">
        <v>202</v>
      </c>
      <c r="V47" t="s">
        <v>223</v>
      </c>
    </row>
    <row r="48" spans="1:22" x14ac:dyDescent="0.2">
      <c r="A48" s="3" t="s">
        <v>149</v>
      </c>
      <c r="B48" s="4" t="b">
        <v>1</v>
      </c>
      <c r="C48" s="50">
        <v>0.72331793</v>
      </c>
      <c r="D48" s="4">
        <v>0.5</v>
      </c>
      <c r="E48" s="3">
        <v>0.8</v>
      </c>
      <c r="F48" s="4"/>
      <c r="H48" s="3" t="s">
        <v>145</v>
      </c>
      <c r="I48" s="4" t="b">
        <v>1</v>
      </c>
      <c r="J48" s="3">
        <v>0.1</v>
      </c>
      <c r="K48" s="4">
        <v>0</v>
      </c>
      <c r="L48" s="3">
        <v>0.5</v>
      </c>
      <c r="M48" s="4" t="s">
        <v>146</v>
      </c>
      <c r="V48" s="49" t="s">
        <v>222</v>
      </c>
    </row>
    <row r="49" spans="1:26" x14ac:dyDescent="0.2">
      <c r="H49" s="3" t="s">
        <v>147</v>
      </c>
      <c r="I49" s="4" t="b">
        <v>1</v>
      </c>
      <c r="J49" s="3">
        <v>0.31</v>
      </c>
      <c r="K49" s="4">
        <v>0</v>
      </c>
      <c r="L49" s="3">
        <v>0.5</v>
      </c>
      <c r="M49" s="4" t="s">
        <v>148</v>
      </c>
    </row>
    <row r="53" spans="1:26" x14ac:dyDescent="0.2">
      <c r="H53" s="46" t="s">
        <v>203</v>
      </c>
    </row>
    <row r="54" spans="1:26" x14ac:dyDescent="0.2">
      <c r="H54" s="46" t="s">
        <v>199</v>
      </c>
      <c r="J54" s="3" t="s">
        <v>154</v>
      </c>
    </row>
    <row r="55" spans="1:26" x14ac:dyDescent="0.2">
      <c r="H55" s="46" t="s">
        <v>200</v>
      </c>
      <c r="J55" s="3" t="s">
        <v>155</v>
      </c>
    </row>
    <row r="56" spans="1:26" x14ac:dyDescent="0.2">
      <c r="H56" s="47" t="s">
        <v>206</v>
      </c>
      <c r="U56" s="3" t="s">
        <v>156</v>
      </c>
      <c r="V56" s="4" t="b">
        <v>1</v>
      </c>
      <c r="W56" s="3">
        <v>0.8</v>
      </c>
      <c r="X56" s="4">
        <v>0.5</v>
      </c>
      <c r="Y56" s="3">
        <v>1</v>
      </c>
      <c r="Z56" s="4" t="s">
        <v>157</v>
      </c>
    </row>
    <row r="57" spans="1:26" x14ac:dyDescent="0.2">
      <c r="H57" s="47"/>
      <c r="U57" s="3" t="s">
        <v>158</v>
      </c>
      <c r="V57" s="4" t="b">
        <v>1</v>
      </c>
      <c r="W57" s="3">
        <v>2010.623</v>
      </c>
      <c r="X57" s="4">
        <v>2005</v>
      </c>
      <c r="Y57" s="3">
        <v>2015</v>
      </c>
      <c r="Z57" s="4" t="s">
        <v>159</v>
      </c>
    </row>
    <row r="58" spans="1:26" x14ac:dyDescent="0.2">
      <c r="H58" s="48" t="s">
        <v>207</v>
      </c>
      <c r="U58" s="3" t="s">
        <v>160</v>
      </c>
      <c r="V58" s="4" t="b">
        <v>1</v>
      </c>
      <c r="W58" s="3">
        <v>0.9</v>
      </c>
      <c r="X58" s="4">
        <v>0.5</v>
      </c>
      <c r="Y58" s="3">
        <v>1</v>
      </c>
      <c r="Z58" s="4" t="s">
        <v>161</v>
      </c>
    </row>
    <row r="59" spans="1:26" x14ac:dyDescent="0.2">
      <c r="H59" s="48"/>
      <c r="U59" s="3" t="s">
        <v>162</v>
      </c>
      <c r="V59" s="4" t="b">
        <v>1</v>
      </c>
      <c r="W59" s="3">
        <v>2010.623</v>
      </c>
      <c r="X59" s="4">
        <v>2005</v>
      </c>
      <c r="Y59" s="3">
        <v>2015</v>
      </c>
      <c r="Z59" s="4" t="s">
        <v>163</v>
      </c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ht="17.25" customHeight="1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  <row r="102" spans="1:6" x14ac:dyDescent="0.2">
      <c r="A102" s="3"/>
      <c r="B102" s="4" t="s">
        <v>12</v>
      </c>
      <c r="C102" s="3"/>
      <c r="D102" s="4"/>
      <c r="E102" s="3"/>
      <c r="F102" s="4"/>
    </row>
    <row r="103" spans="1:6" x14ac:dyDescent="0.2">
      <c r="A103" s="3"/>
      <c r="B103" s="4" t="s">
        <v>12</v>
      </c>
      <c r="C103" s="3"/>
      <c r="D103" s="4"/>
      <c r="E103" s="3"/>
      <c r="F103" s="4"/>
    </row>
    <row r="104" spans="1:6" x14ac:dyDescent="0.2">
      <c r="A104" s="3"/>
      <c r="B104" s="4" t="s">
        <v>12</v>
      </c>
      <c r="C104" s="3"/>
      <c r="D104" s="4"/>
      <c r="E104" s="3"/>
      <c r="F104" s="4"/>
    </row>
    <row r="105" spans="1:6" x14ac:dyDescent="0.2">
      <c r="A105" s="3"/>
      <c r="B105" s="4" t="s">
        <v>12</v>
      </c>
      <c r="C105" s="3"/>
      <c r="D105" s="4"/>
      <c r="E105" s="3"/>
      <c r="F105" s="4"/>
    </row>
    <row r="106" spans="1:6" x14ac:dyDescent="0.2">
      <c r="A106" s="3"/>
      <c r="B106" s="4" t="s">
        <v>12</v>
      </c>
      <c r="C106" s="3"/>
      <c r="D106" s="4"/>
      <c r="E106" s="3"/>
      <c r="F106" s="4"/>
    </row>
  </sheetData>
  <conditionalFormatting sqref="C60:C106 W56:W59 J48:J49 J19:J23">
    <cfRule type="expression" dxfId="16" priority="11">
      <formula>AND(OR(C19 &lt; D19, C19 &gt; E19, C19 = none), A19 &lt;&gt; none)</formula>
    </cfRule>
  </conditionalFormatting>
  <conditionalFormatting sqref="D60:D106 X56:X59 K48:K49 K19:K23">
    <cfRule type="expression" dxfId="14" priority="8">
      <formula>AND(OR(D19 &gt; E19, D19=none), A19 &lt;&gt; none)</formula>
    </cfRule>
  </conditionalFormatting>
  <conditionalFormatting sqref="E60:E106 Y56:Y59 L48:L49 L19:L23">
    <cfRule type="expression" dxfId="13" priority="6">
      <formula>AND(OR(E19 &lt; D19, E19=none), A19 &lt;&gt; none)</formula>
    </cfRule>
  </conditionalFormatting>
  <conditionalFormatting sqref="B60:B106 V56:V59 I48:I49 B2:B48 I19:I23">
    <cfRule type="expression" dxfId="12" priority="5">
      <formula>AND(B2&lt;&gt;TRUE, B2&lt;&gt;FALSE, A2&lt;&gt;none)</formula>
    </cfRule>
  </conditionalFormatting>
  <conditionalFormatting sqref="C2:C48">
    <cfRule type="expression" dxfId="11" priority="4">
      <formula>AND(OR(C2 &lt; D2, C2 &gt; E2, C2 = none), A2 &lt;&gt; none)</formula>
    </cfRule>
  </conditionalFormatting>
  <conditionalFormatting sqref="C12">
    <cfRule type="expression" dxfId="10" priority="3">
      <formula>AND(OR(C12 &lt; D12, C12 &gt; E12), A12 &lt;&gt; "")</formula>
    </cfRule>
  </conditionalFormatting>
  <conditionalFormatting sqref="D2:D48">
    <cfRule type="expression" dxfId="9" priority="2">
      <formula>AND(OR(D2 &gt; E2, D2=none), A2 &lt;&gt; none)</formula>
    </cfRule>
  </conditionalFormatting>
  <conditionalFormatting sqref="E2:E48">
    <cfRule type="expression" dxfId="8" priority="1">
      <formula>AND(OR(E2 &lt; D2, E2=none), A2 &lt;&gt; none)</formula>
    </cfRule>
  </conditionalFormatting>
  <dataValidations count="1">
    <dataValidation type="list" allowBlank="1" showInputMessage="1" showErrorMessage="1" sqref="B60:B106 V56:V59 I48:I49 I19:I23 B2:B48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N12" sqref="N12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164</v>
      </c>
      <c r="B8" s="29" t="s">
        <v>85</v>
      </c>
      <c r="C8" s="28"/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95</v>
      </c>
      <c r="C10" s="31" t="s">
        <v>12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194</v>
      </c>
    </row>
    <row r="38" spans="1:25" x14ac:dyDescent="0.2">
      <c r="A38" s="36" t="s">
        <v>195</v>
      </c>
    </row>
    <row r="39" spans="1:25" x14ac:dyDescent="0.2">
      <c r="A39" s="36" t="s">
        <v>196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164</v>
      </c>
      <c r="B7" s="5" t="s">
        <v>71</v>
      </c>
      <c r="C7" s="5" t="s">
        <v>68</v>
      </c>
      <c r="D7" s="5" t="s">
        <v>77</v>
      </c>
      <c r="E7" s="5">
        <v>0.8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0.2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194</v>
      </c>
    </row>
    <row r="19" spans="1:1" x14ac:dyDescent="0.2">
      <c r="A19" s="36" t="s">
        <v>195</v>
      </c>
    </row>
    <row r="20" spans="1:1" x14ac:dyDescent="0.2">
      <c r="A20" s="36" t="s">
        <v>196</v>
      </c>
    </row>
    <row r="22" spans="1:1" x14ac:dyDescent="0.2">
      <c r="A22" t="s">
        <v>197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Population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/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F9" sqref="F9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165</v>
      </c>
      <c r="B1" s="35" t="s">
        <v>164</v>
      </c>
      <c r="G1" s="37" t="s">
        <v>171</v>
      </c>
    </row>
    <row r="3" spans="1:12" x14ac:dyDescent="0.2">
      <c r="A3" s="37" t="s">
        <v>166</v>
      </c>
    </row>
    <row r="4" spans="1:12" x14ac:dyDescent="0.2">
      <c r="A4" s="38" t="s">
        <v>86</v>
      </c>
      <c r="B4" s="38" t="s">
        <v>172</v>
      </c>
      <c r="C4" s="38" t="s">
        <v>173</v>
      </c>
      <c r="D4" s="38" t="s">
        <v>174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167</v>
      </c>
    </row>
    <row r="6" spans="1:12" x14ac:dyDescent="0.2">
      <c r="A6" s="40" t="s">
        <v>168</v>
      </c>
      <c r="B6" s="39" t="s">
        <v>169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172</v>
      </c>
      <c r="C8" s="35" t="s">
        <v>173</v>
      </c>
      <c r="D8" s="35" t="s">
        <v>174</v>
      </c>
      <c r="E8" s="35" t="s">
        <v>164</v>
      </c>
      <c r="F8" s="35" t="s">
        <v>168</v>
      </c>
      <c r="G8" s="35" t="s">
        <v>169</v>
      </c>
      <c r="J8" s="37" t="s">
        <v>175</v>
      </c>
    </row>
    <row r="9" spans="1:12" x14ac:dyDescent="0.2">
      <c r="A9" s="41">
        <v>2007</v>
      </c>
      <c r="B9" s="41" t="s">
        <v>186</v>
      </c>
      <c r="C9" s="41" t="s">
        <v>44</v>
      </c>
      <c r="D9" s="41" t="s">
        <v>176</v>
      </c>
      <c r="E9" s="41">
        <v>1.9E-2</v>
      </c>
      <c r="F9" s="41">
        <v>10</v>
      </c>
      <c r="G9" s="41">
        <v>1272</v>
      </c>
    </row>
    <row r="10" spans="1:12" x14ac:dyDescent="0.2">
      <c r="A10" s="41">
        <v>2007</v>
      </c>
      <c r="B10" s="41" t="s">
        <v>186</v>
      </c>
      <c r="C10" s="41" t="s">
        <v>44</v>
      </c>
      <c r="D10" s="41" t="s">
        <v>177</v>
      </c>
      <c r="E10" s="41">
        <v>0.124</v>
      </c>
      <c r="F10" s="41">
        <v>10</v>
      </c>
      <c r="G10" s="41">
        <v>779</v>
      </c>
    </row>
    <row r="11" spans="1:12" x14ac:dyDescent="0.2">
      <c r="A11" s="41">
        <v>2007</v>
      </c>
      <c r="B11" s="41" t="s">
        <v>186</v>
      </c>
      <c r="C11" s="41" t="s">
        <v>44</v>
      </c>
      <c r="D11" s="41" t="s">
        <v>178</v>
      </c>
      <c r="E11" s="41">
        <v>0.27800000000000002</v>
      </c>
      <c r="F11" s="41">
        <v>10</v>
      </c>
      <c r="G11" s="41">
        <v>553</v>
      </c>
      <c r="I11" s="37" t="s">
        <v>194</v>
      </c>
    </row>
    <row r="12" spans="1:12" x14ac:dyDescent="0.2">
      <c r="A12" s="41">
        <v>2007</v>
      </c>
      <c r="B12" s="41" t="s">
        <v>186</v>
      </c>
      <c r="C12" s="41" t="s">
        <v>44</v>
      </c>
      <c r="D12" s="41" t="s">
        <v>179</v>
      </c>
      <c r="E12" s="41">
        <v>0.437</v>
      </c>
      <c r="F12" s="41">
        <v>10</v>
      </c>
      <c r="G12" s="41">
        <v>380</v>
      </c>
      <c r="I12" s="36" t="s">
        <v>195</v>
      </c>
    </row>
    <row r="13" spans="1:12" x14ac:dyDescent="0.2">
      <c r="A13" s="41">
        <v>2007</v>
      </c>
      <c r="B13" s="41" t="s">
        <v>186</v>
      </c>
      <c r="C13" s="41" t="s">
        <v>44</v>
      </c>
      <c r="D13" s="41" t="s">
        <v>180</v>
      </c>
      <c r="E13" s="41">
        <v>0.44900000000000001</v>
      </c>
      <c r="F13" s="41">
        <v>10</v>
      </c>
      <c r="G13" s="41">
        <v>321</v>
      </c>
      <c r="I13" s="36" t="s">
        <v>196</v>
      </c>
    </row>
    <row r="14" spans="1:12" x14ac:dyDescent="0.2">
      <c r="A14" s="41">
        <v>2007</v>
      </c>
      <c r="B14" s="41" t="s">
        <v>186</v>
      </c>
      <c r="C14" s="41" t="s">
        <v>44</v>
      </c>
      <c r="D14" s="41" t="s">
        <v>181</v>
      </c>
      <c r="E14" s="41">
        <v>0.40699999999999997</v>
      </c>
      <c r="F14" s="41">
        <v>10</v>
      </c>
      <c r="G14" s="41">
        <v>230</v>
      </c>
    </row>
    <row r="15" spans="1:12" x14ac:dyDescent="0.2">
      <c r="A15" s="41">
        <v>2007</v>
      </c>
      <c r="B15" s="41" t="s">
        <v>186</v>
      </c>
      <c r="C15" s="41" t="s">
        <v>44</v>
      </c>
      <c r="D15" s="41" t="s">
        <v>182</v>
      </c>
      <c r="E15" s="41">
        <v>0.27900000000000003</v>
      </c>
      <c r="F15" s="41">
        <v>10</v>
      </c>
      <c r="G15" s="41">
        <v>229</v>
      </c>
    </row>
    <row r="16" spans="1:12" x14ac:dyDescent="0.2">
      <c r="A16" s="41">
        <v>2007</v>
      </c>
      <c r="B16" s="41" t="s">
        <v>186</v>
      </c>
      <c r="C16" s="41" t="s">
        <v>44</v>
      </c>
      <c r="D16" s="41" t="s">
        <v>183</v>
      </c>
      <c r="E16" s="41">
        <v>0.28299999999999997</v>
      </c>
      <c r="F16" s="41">
        <v>10</v>
      </c>
      <c r="G16" s="41">
        <v>106</v>
      </c>
    </row>
    <row r="17" spans="1:7" x14ac:dyDescent="0.2">
      <c r="A17" s="41">
        <v>2007</v>
      </c>
      <c r="B17" s="41" t="s">
        <v>186</v>
      </c>
      <c r="C17" s="41" t="s">
        <v>44</v>
      </c>
      <c r="D17" s="41" t="s">
        <v>184</v>
      </c>
      <c r="E17" s="41">
        <v>0.17399999999999999</v>
      </c>
      <c r="F17" s="41">
        <v>10</v>
      </c>
      <c r="G17" s="41">
        <v>70</v>
      </c>
    </row>
    <row r="18" spans="1:7" x14ac:dyDescent="0.2">
      <c r="A18" s="41">
        <v>2007</v>
      </c>
      <c r="B18" s="41" t="s">
        <v>186</v>
      </c>
      <c r="C18" s="41" t="s">
        <v>44</v>
      </c>
      <c r="D18" s="41" t="s">
        <v>185</v>
      </c>
      <c r="E18" s="41">
        <v>0.13300000000000001</v>
      </c>
      <c r="F18" s="41">
        <v>10</v>
      </c>
      <c r="G18" s="41">
        <v>227</v>
      </c>
    </row>
    <row r="19" spans="1:7" x14ac:dyDescent="0.2">
      <c r="A19" s="42">
        <v>2007</v>
      </c>
      <c r="B19" s="42" t="s">
        <v>186</v>
      </c>
      <c r="C19" s="42" t="s">
        <v>43</v>
      </c>
      <c r="D19" s="42" t="s">
        <v>176</v>
      </c>
      <c r="E19" s="42">
        <v>0.10100000000000001</v>
      </c>
      <c r="F19" s="42">
        <v>10</v>
      </c>
      <c r="G19" s="42">
        <v>1151</v>
      </c>
    </row>
    <row r="20" spans="1:7" x14ac:dyDescent="0.2">
      <c r="A20" s="42">
        <v>2007</v>
      </c>
      <c r="B20" s="42" t="s">
        <v>186</v>
      </c>
      <c r="C20" s="42" t="s">
        <v>43</v>
      </c>
      <c r="D20" s="42" t="s">
        <v>177</v>
      </c>
      <c r="E20" s="42">
        <v>0.38400000000000001</v>
      </c>
      <c r="F20" s="42">
        <v>10</v>
      </c>
      <c r="G20" s="42">
        <v>922</v>
      </c>
    </row>
    <row r="21" spans="1:7" x14ac:dyDescent="0.2">
      <c r="A21" s="42">
        <v>2007</v>
      </c>
      <c r="B21" s="42" t="s">
        <v>186</v>
      </c>
      <c r="C21" s="42" t="s">
        <v>43</v>
      </c>
      <c r="D21" s="42" t="s">
        <v>178</v>
      </c>
      <c r="E21" s="42">
        <v>0.49199999999999999</v>
      </c>
      <c r="F21" s="42">
        <v>10</v>
      </c>
      <c r="G21" s="42">
        <v>648</v>
      </c>
    </row>
    <row r="22" spans="1:7" x14ac:dyDescent="0.2">
      <c r="A22" s="42">
        <v>2007</v>
      </c>
      <c r="B22" s="42" t="s">
        <v>186</v>
      </c>
      <c r="C22" s="42" t="s">
        <v>43</v>
      </c>
      <c r="D22" s="42" t="s">
        <v>179</v>
      </c>
      <c r="E22" s="42">
        <v>0.45200000000000001</v>
      </c>
      <c r="F22" s="42">
        <v>10</v>
      </c>
      <c r="G22" s="42">
        <v>536</v>
      </c>
    </row>
    <row r="23" spans="1:7" x14ac:dyDescent="0.2">
      <c r="A23" s="42">
        <v>2007</v>
      </c>
      <c r="B23" s="42" t="s">
        <v>186</v>
      </c>
      <c r="C23" s="42" t="s">
        <v>43</v>
      </c>
      <c r="D23" s="42" t="s">
        <v>180</v>
      </c>
      <c r="E23" s="42">
        <v>0.377</v>
      </c>
      <c r="F23" s="42">
        <v>10</v>
      </c>
      <c r="G23" s="42">
        <v>441</v>
      </c>
    </row>
    <row r="24" spans="1:7" x14ac:dyDescent="0.2">
      <c r="A24" s="42">
        <v>2007</v>
      </c>
      <c r="B24" s="42" t="s">
        <v>186</v>
      </c>
      <c r="C24" s="42" t="s">
        <v>43</v>
      </c>
      <c r="D24" s="42" t="s">
        <v>181</v>
      </c>
      <c r="E24" s="42">
        <v>0.27900000000000003</v>
      </c>
      <c r="F24" s="42">
        <v>10</v>
      </c>
      <c r="G24" s="42">
        <v>382</v>
      </c>
    </row>
    <row r="25" spans="1:7" x14ac:dyDescent="0.2">
      <c r="A25" s="42">
        <v>2007</v>
      </c>
      <c r="B25" s="42" t="s">
        <v>186</v>
      </c>
      <c r="C25" s="42" t="s">
        <v>43</v>
      </c>
      <c r="D25" s="42" t="s">
        <v>182</v>
      </c>
      <c r="E25" s="42">
        <v>0.214</v>
      </c>
      <c r="F25" s="42">
        <v>10</v>
      </c>
      <c r="G25" s="42">
        <v>342</v>
      </c>
    </row>
    <row r="26" spans="1:7" x14ac:dyDescent="0.2">
      <c r="A26" s="42">
        <v>2007</v>
      </c>
      <c r="B26" s="42" t="s">
        <v>186</v>
      </c>
      <c r="C26" s="42" t="s">
        <v>43</v>
      </c>
      <c r="D26" s="42" t="s">
        <v>183</v>
      </c>
      <c r="E26" s="42">
        <v>0.24299999999999999</v>
      </c>
      <c r="F26" s="42">
        <v>10</v>
      </c>
      <c r="G26" s="42">
        <v>144</v>
      </c>
    </row>
    <row r="27" spans="1:7" x14ac:dyDescent="0.2">
      <c r="A27" s="42">
        <v>2007</v>
      </c>
      <c r="B27" s="42" t="s">
        <v>186</v>
      </c>
      <c r="C27" s="42" t="s">
        <v>43</v>
      </c>
      <c r="D27" s="42" t="s">
        <v>184</v>
      </c>
      <c r="E27" s="42">
        <v>9.6000000000000002E-2</v>
      </c>
      <c r="F27" s="42">
        <v>10</v>
      </c>
      <c r="G27" s="42">
        <v>102</v>
      </c>
    </row>
    <row r="28" spans="1:7" x14ac:dyDescent="0.2">
      <c r="A28" s="42">
        <v>2007</v>
      </c>
      <c r="B28" s="42" t="s">
        <v>186</v>
      </c>
      <c r="C28" s="42" t="s">
        <v>43</v>
      </c>
      <c r="D28" s="42" t="s">
        <v>185</v>
      </c>
      <c r="E28" s="42">
        <v>7.0000000000000007E-2</v>
      </c>
      <c r="F28" s="42">
        <v>10</v>
      </c>
      <c r="G28" s="42">
        <v>342</v>
      </c>
    </row>
    <row r="29" spans="1:7" x14ac:dyDescent="0.2">
      <c r="A29" s="41">
        <v>2011</v>
      </c>
      <c r="B29" s="41" t="s">
        <v>186</v>
      </c>
      <c r="C29" s="41" t="s">
        <v>44</v>
      </c>
      <c r="D29" s="41" t="s">
        <v>176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186</v>
      </c>
      <c r="C30" s="41" t="s">
        <v>44</v>
      </c>
      <c r="D30" s="41" t="s">
        <v>177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186</v>
      </c>
      <c r="C31" s="41" t="s">
        <v>44</v>
      </c>
      <c r="D31" s="41" t="s">
        <v>178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186</v>
      </c>
      <c r="C32" s="41" t="s">
        <v>44</v>
      </c>
      <c r="D32" s="41" t="s">
        <v>179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186</v>
      </c>
      <c r="C33" s="41" t="s">
        <v>44</v>
      </c>
      <c r="D33" s="41" t="s">
        <v>180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186</v>
      </c>
      <c r="C34" s="41" t="s">
        <v>44</v>
      </c>
      <c r="D34" s="41" t="s">
        <v>181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186</v>
      </c>
      <c r="C35" s="41" t="s">
        <v>44</v>
      </c>
      <c r="D35" s="41" t="s">
        <v>182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186</v>
      </c>
      <c r="C36" s="42" t="s">
        <v>43</v>
      </c>
      <c r="D36" s="42" t="s">
        <v>176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186</v>
      </c>
      <c r="C37" s="42" t="s">
        <v>43</v>
      </c>
      <c r="D37" s="42" t="s">
        <v>177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186</v>
      </c>
      <c r="C38" s="42" t="s">
        <v>43</v>
      </c>
      <c r="D38" s="42" t="s">
        <v>178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186</v>
      </c>
      <c r="C39" s="42" t="s">
        <v>43</v>
      </c>
      <c r="D39" s="42" t="s">
        <v>179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186</v>
      </c>
      <c r="C40" s="42" t="s">
        <v>43</v>
      </c>
      <c r="D40" s="42" t="s">
        <v>180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186</v>
      </c>
      <c r="C41" s="42" t="s">
        <v>43</v>
      </c>
      <c r="D41" s="42" t="s">
        <v>181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186</v>
      </c>
      <c r="C42" s="42" t="s">
        <v>43</v>
      </c>
      <c r="D42" s="42" t="s">
        <v>182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186</v>
      </c>
      <c r="C43" s="41" t="s">
        <v>44</v>
      </c>
      <c r="D43" s="41" t="s">
        <v>176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186</v>
      </c>
      <c r="C44" s="41" t="s">
        <v>44</v>
      </c>
      <c r="D44" s="41" t="s">
        <v>177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186</v>
      </c>
      <c r="C45" s="41" t="s">
        <v>44</v>
      </c>
      <c r="D45" s="41" t="s">
        <v>178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186</v>
      </c>
      <c r="C46" s="41" t="s">
        <v>44</v>
      </c>
      <c r="D46" s="41" t="s">
        <v>179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186</v>
      </c>
      <c r="C47" s="41" t="s">
        <v>44</v>
      </c>
      <c r="D47" s="41" t="s">
        <v>180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186</v>
      </c>
      <c r="C48" s="41" t="s">
        <v>44</v>
      </c>
      <c r="D48" s="41" t="s">
        <v>181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186</v>
      </c>
      <c r="C49" s="41" t="s">
        <v>44</v>
      </c>
      <c r="D49" s="41" t="s">
        <v>182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186</v>
      </c>
      <c r="C50" s="41" t="s">
        <v>44</v>
      </c>
      <c r="D50" s="41" t="s">
        <v>183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186</v>
      </c>
      <c r="C51" s="41" t="s">
        <v>44</v>
      </c>
      <c r="D51" s="41" t="s">
        <v>184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186</v>
      </c>
      <c r="C52" s="41" t="s">
        <v>44</v>
      </c>
      <c r="D52" s="41" t="s">
        <v>185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186</v>
      </c>
      <c r="C53" s="42" t="s">
        <v>43</v>
      </c>
      <c r="D53" s="42" t="s">
        <v>176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186</v>
      </c>
      <c r="C54" s="42" t="s">
        <v>43</v>
      </c>
      <c r="D54" s="42" t="s">
        <v>177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186</v>
      </c>
      <c r="C55" s="42" t="s">
        <v>43</v>
      </c>
      <c r="D55" s="42" t="s">
        <v>178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186</v>
      </c>
      <c r="C56" s="42" t="s">
        <v>43</v>
      </c>
      <c r="D56" s="42" t="s">
        <v>179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186</v>
      </c>
      <c r="C57" s="42" t="s">
        <v>43</v>
      </c>
      <c r="D57" s="42" t="s">
        <v>180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186</v>
      </c>
      <c r="C58" s="42" t="s">
        <v>43</v>
      </c>
      <c r="D58" s="42" t="s">
        <v>181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186</v>
      </c>
      <c r="C59" s="42" t="s">
        <v>43</v>
      </c>
      <c r="D59" s="42" t="s">
        <v>182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186</v>
      </c>
      <c r="C60" s="42" t="s">
        <v>43</v>
      </c>
      <c r="D60" s="42" t="s">
        <v>183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186</v>
      </c>
      <c r="C61" s="42" t="s">
        <v>43</v>
      </c>
      <c r="D61" s="42" t="s">
        <v>184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186</v>
      </c>
      <c r="C62" s="42" t="s">
        <v>43</v>
      </c>
      <c r="D62" s="42" t="s">
        <v>185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186</v>
      </c>
      <c r="C64" s="38" t="s">
        <v>43</v>
      </c>
      <c r="D64" s="38" t="s">
        <v>176</v>
      </c>
      <c r="E64" s="38">
        <v>5.7972805933250902E-2</v>
      </c>
      <c r="F64" s="38"/>
      <c r="G64" s="38">
        <v>806.19618146966195</v>
      </c>
      <c r="I64" s="36" t="s">
        <v>242</v>
      </c>
    </row>
    <row r="65" spans="1:9" x14ac:dyDescent="0.2">
      <c r="A65" s="39">
        <v>2021</v>
      </c>
      <c r="B65" s="39" t="s">
        <v>186</v>
      </c>
      <c r="C65" s="39" t="s">
        <v>44</v>
      </c>
      <c r="D65" s="39" t="s">
        <v>176</v>
      </c>
      <c r="E65" s="39">
        <v>3.0284301606922203E-2</v>
      </c>
      <c r="F65" s="39"/>
      <c r="G65" s="39">
        <v>1066.5900059840101</v>
      </c>
      <c r="I65" s="36" t="s">
        <v>241</v>
      </c>
    </row>
    <row r="66" spans="1:9" x14ac:dyDescent="0.2">
      <c r="A66" s="38">
        <v>2021</v>
      </c>
      <c r="B66" s="38" t="s">
        <v>186</v>
      </c>
      <c r="C66" s="38" t="s">
        <v>43</v>
      </c>
      <c r="D66" s="38" t="s">
        <v>177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186</v>
      </c>
      <c r="C67" s="39" t="s">
        <v>44</v>
      </c>
      <c r="D67" s="39" t="s">
        <v>177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186</v>
      </c>
      <c r="C68" s="38" t="s">
        <v>43</v>
      </c>
      <c r="D68" s="38" t="s">
        <v>178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186</v>
      </c>
      <c r="C69" s="39" t="s">
        <v>44</v>
      </c>
      <c r="D69" s="39" t="s">
        <v>178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186</v>
      </c>
      <c r="C70" s="38" t="s">
        <v>43</v>
      </c>
      <c r="D70" s="38" t="s">
        <v>179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186</v>
      </c>
      <c r="C71" s="39" t="s">
        <v>44</v>
      </c>
      <c r="D71" s="39" t="s">
        <v>179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186</v>
      </c>
      <c r="C72" s="38" t="s">
        <v>43</v>
      </c>
      <c r="D72" s="38" t="s">
        <v>180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186</v>
      </c>
      <c r="C73" s="39" t="s">
        <v>44</v>
      </c>
      <c r="D73" s="39" t="s">
        <v>180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186</v>
      </c>
      <c r="C74" s="38" t="s">
        <v>43</v>
      </c>
      <c r="D74" s="38" t="s">
        <v>181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186</v>
      </c>
      <c r="C75" s="39" t="s">
        <v>44</v>
      </c>
      <c r="D75" s="39" t="s">
        <v>181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186</v>
      </c>
      <c r="C76" s="38" t="s">
        <v>43</v>
      </c>
      <c r="D76" s="38" t="s">
        <v>182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186</v>
      </c>
      <c r="C77" s="39" t="s">
        <v>44</v>
      </c>
      <c r="D77" s="39" t="s">
        <v>182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186</v>
      </c>
      <c r="C78" s="38" t="s">
        <v>43</v>
      </c>
      <c r="D78" s="38" t="s">
        <v>183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186</v>
      </c>
      <c r="C79" s="39" t="s">
        <v>44</v>
      </c>
      <c r="D79" s="39" t="s">
        <v>183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186</v>
      </c>
      <c r="C80" s="38" t="s">
        <v>43</v>
      </c>
      <c r="D80" s="38" t="s">
        <v>184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186</v>
      </c>
      <c r="C81" s="39" t="s">
        <v>44</v>
      </c>
      <c r="D81" s="39" t="s">
        <v>184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186</v>
      </c>
      <c r="C82" s="38" t="s">
        <v>43</v>
      </c>
      <c r="D82" s="38" t="s">
        <v>185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186</v>
      </c>
      <c r="C83" s="39" t="s">
        <v>44</v>
      </c>
      <c r="D83" s="39" t="s">
        <v>185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186</v>
      </c>
      <c r="C84" s="38" t="s">
        <v>43</v>
      </c>
      <c r="D84" s="38" t="s">
        <v>266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186</v>
      </c>
      <c r="C85" s="39" t="s">
        <v>44</v>
      </c>
      <c r="D85" s="39" t="s">
        <v>266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U1008"/>
  <sheetViews>
    <sheetView zoomScale="107" workbookViewId="0">
      <selection activeCell="D133" sqref="D133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21" x14ac:dyDescent="0.2">
      <c r="A1" s="35" t="s">
        <v>165</v>
      </c>
      <c r="B1" s="35" t="s">
        <v>85</v>
      </c>
      <c r="G1" s="37" t="s">
        <v>171</v>
      </c>
    </row>
    <row r="3" spans="1:21" x14ac:dyDescent="0.2">
      <c r="A3" s="37" t="s">
        <v>166</v>
      </c>
    </row>
    <row r="4" spans="1:21" x14ac:dyDescent="0.2">
      <c r="A4" s="38" t="s">
        <v>86</v>
      </c>
      <c r="B4" s="38" t="s">
        <v>172</v>
      </c>
      <c r="C4" s="38" t="s">
        <v>173</v>
      </c>
      <c r="D4" s="38" t="s">
        <v>174</v>
      </c>
      <c r="E4" s="38"/>
      <c r="F4" s="38"/>
      <c r="G4" s="38"/>
      <c r="H4" s="38"/>
      <c r="I4" s="38"/>
      <c r="J4" s="38"/>
      <c r="K4" s="38"/>
      <c r="L4" s="38"/>
      <c r="N4" s="36" t="s">
        <v>258</v>
      </c>
    </row>
    <row r="5" spans="1:21" x14ac:dyDescent="0.2">
      <c r="A5" s="37" t="s">
        <v>167</v>
      </c>
      <c r="N5" s="36" t="s">
        <v>259</v>
      </c>
    </row>
    <row r="6" spans="1:21" x14ac:dyDescent="0.2">
      <c r="A6" s="40" t="s">
        <v>168</v>
      </c>
      <c r="B6" s="39"/>
      <c r="C6" s="39" t="s">
        <v>170</v>
      </c>
      <c r="D6" s="39"/>
      <c r="E6" s="39"/>
      <c r="F6" s="39"/>
      <c r="G6" s="39"/>
      <c r="H6" s="39"/>
      <c r="I6" s="39"/>
      <c r="J6" s="39"/>
      <c r="K6" s="39"/>
      <c r="L6" s="39"/>
      <c r="N6" s="36" t="s">
        <v>260</v>
      </c>
    </row>
    <row r="8" spans="1:21" x14ac:dyDescent="0.2">
      <c r="A8" s="35" t="s">
        <v>86</v>
      </c>
      <c r="B8" s="35" t="s">
        <v>172</v>
      </c>
      <c r="C8" s="35" t="s">
        <v>173</v>
      </c>
      <c r="D8" s="35" t="s">
        <v>174</v>
      </c>
      <c r="E8" s="35" t="s">
        <v>85</v>
      </c>
      <c r="F8" s="35" t="s">
        <v>168</v>
      </c>
      <c r="G8" s="35" t="s">
        <v>170</v>
      </c>
      <c r="J8" s="37" t="s">
        <v>175</v>
      </c>
      <c r="Q8" s="36" t="s">
        <v>261</v>
      </c>
      <c r="R8" s="36" t="s">
        <v>262</v>
      </c>
      <c r="S8" s="36" t="s">
        <v>263</v>
      </c>
      <c r="T8" s="36" t="s">
        <v>264</v>
      </c>
      <c r="U8" s="36" t="s">
        <v>265</v>
      </c>
    </row>
    <row r="9" spans="1:21" x14ac:dyDescent="0.2">
      <c r="A9" s="39">
        <v>2000</v>
      </c>
      <c r="B9" s="39" t="s">
        <v>186</v>
      </c>
      <c r="C9" s="39" t="s">
        <v>44</v>
      </c>
      <c r="D9" s="39" t="s">
        <v>187</v>
      </c>
      <c r="E9" s="39">
        <v>73690</v>
      </c>
      <c r="F9" s="39"/>
      <c r="G9" s="39">
        <v>14738</v>
      </c>
      <c r="H9" s="36">
        <f t="shared" ref="H9:H25" si="0">0.2*E9</f>
        <v>14738</v>
      </c>
      <c r="J9" s="36">
        <v>73.69</v>
      </c>
      <c r="K9" s="36">
        <f>1000*J9</f>
        <v>73690</v>
      </c>
      <c r="N9" s="36">
        <v>0</v>
      </c>
      <c r="O9" s="36">
        <f>N9/$K$29</f>
        <v>0</v>
      </c>
      <c r="Q9" s="36">
        <v>30.896000000000001</v>
      </c>
      <c r="R9" s="36">
        <v>31.102</v>
      </c>
      <c r="S9" s="36">
        <f xml:space="preserve"> 1000 * Q9+ 1000*R9</f>
        <v>61998</v>
      </c>
      <c r="T9" s="36">
        <f>S9</f>
        <v>61998</v>
      </c>
      <c r="U9" s="36">
        <f>T9/$S$29</f>
        <v>0.18420098758682979</v>
      </c>
    </row>
    <row r="10" spans="1:21" x14ac:dyDescent="0.2">
      <c r="A10" s="38">
        <v>2000</v>
      </c>
      <c r="B10" s="38" t="s">
        <v>186</v>
      </c>
      <c r="C10" s="38" t="s">
        <v>44</v>
      </c>
      <c r="D10" s="38" t="s">
        <v>188</v>
      </c>
      <c r="E10" s="38">
        <v>73324</v>
      </c>
      <c r="F10" s="38"/>
      <c r="G10" s="38">
        <v>14664.800000000001</v>
      </c>
      <c r="H10" s="36">
        <f t="shared" si="0"/>
        <v>14664.800000000001</v>
      </c>
      <c r="J10" s="36">
        <v>73.323999999999998</v>
      </c>
      <c r="K10" s="36">
        <f t="shared" ref="K10:K28" si="1">1000*J10</f>
        <v>73324</v>
      </c>
      <c r="N10" s="36">
        <v>73690</v>
      </c>
      <c r="O10" s="36">
        <f t="shared" ref="O10:O28" si="2">N10/$K$29</f>
        <v>0.15241487291176734</v>
      </c>
      <c r="Q10" s="36">
        <v>24.893000000000001</v>
      </c>
      <c r="R10" s="36">
        <v>25.468</v>
      </c>
      <c r="S10" s="36">
        <f t="shared" ref="S10:S28" si="3" xml:space="preserve"> 1000 * Q10+ 1000*R10</f>
        <v>50361</v>
      </c>
      <c r="T10" s="36">
        <f>SUM(S$9:S10)</f>
        <v>112359</v>
      </c>
      <c r="U10" s="36">
        <f t="shared" ref="U10:U28" si="4">T10/$S$29</f>
        <v>0.33382752289216766</v>
      </c>
    </row>
    <row r="11" spans="1:21" x14ac:dyDescent="0.2">
      <c r="A11" s="39">
        <v>2000</v>
      </c>
      <c r="B11" s="39" t="s">
        <v>186</v>
      </c>
      <c r="C11" s="39" t="s">
        <v>44</v>
      </c>
      <c r="D11" s="39" t="s">
        <v>189</v>
      </c>
      <c r="E11" s="39">
        <v>70269</v>
      </c>
      <c r="F11" s="39"/>
      <c r="G11" s="39">
        <v>14053.800000000001</v>
      </c>
      <c r="H11" s="36">
        <f t="shared" si="0"/>
        <v>14053.800000000001</v>
      </c>
      <c r="J11" s="36">
        <v>70.269000000000005</v>
      </c>
      <c r="K11" s="37">
        <f t="shared" si="1"/>
        <v>70269</v>
      </c>
      <c r="N11" s="36">
        <v>147014</v>
      </c>
      <c r="O11" s="36">
        <f t="shared" si="2"/>
        <v>0.30407273885534752</v>
      </c>
      <c r="Q11" s="36">
        <v>20.486000000000001</v>
      </c>
      <c r="R11" s="36">
        <v>21.38</v>
      </c>
      <c r="S11" s="36">
        <f t="shared" si="3"/>
        <v>41866</v>
      </c>
      <c r="T11" s="36">
        <f>SUM(S$9:S11)</f>
        <v>154225</v>
      </c>
      <c r="U11" s="36">
        <f t="shared" si="4"/>
        <v>0.45821473774281146</v>
      </c>
    </row>
    <row r="12" spans="1:21" x14ac:dyDescent="0.2">
      <c r="A12" s="38">
        <v>2000</v>
      </c>
      <c r="B12" s="38" t="s">
        <v>186</v>
      </c>
      <c r="C12" s="38" t="s">
        <v>44</v>
      </c>
      <c r="D12" s="38" t="s">
        <v>176</v>
      </c>
      <c r="E12" s="38">
        <v>65844</v>
      </c>
      <c r="F12" s="38"/>
      <c r="G12" s="38">
        <v>13168.800000000001</v>
      </c>
      <c r="H12" s="36">
        <f t="shared" si="0"/>
        <v>13168.800000000001</v>
      </c>
      <c r="J12" s="36">
        <v>65.843999999999994</v>
      </c>
      <c r="K12" s="36">
        <f t="shared" si="1"/>
        <v>65844</v>
      </c>
      <c r="N12" s="36">
        <v>217283</v>
      </c>
      <c r="O12" s="36">
        <f t="shared" si="2"/>
        <v>0.44941187177212022</v>
      </c>
      <c r="Q12" s="36">
        <v>16.422999999999998</v>
      </c>
      <c r="R12" s="36">
        <v>17.379000000000001</v>
      </c>
      <c r="S12" s="36">
        <f t="shared" si="3"/>
        <v>33802</v>
      </c>
      <c r="T12" s="36">
        <f>SUM(S$9:S12)</f>
        <v>188027</v>
      </c>
      <c r="U12" s="36">
        <f t="shared" si="4"/>
        <v>0.55864316740844622</v>
      </c>
    </row>
    <row r="13" spans="1:21" x14ac:dyDescent="0.2">
      <c r="A13" s="39">
        <v>2000</v>
      </c>
      <c r="B13" s="39" t="s">
        <v>186</v>
      </c>
      <c r="C13" s="39" t="s">
        <v>44</v>
      </c>
      <c r="D13" s="39" t="s">
        <v>177</v>
      </c>
      <c r="E13" s="39">
        <v>47588</v>
      </c>
      <c r="F13" s="39"/>
      <c r="G13" s="39">
        <v>9517.6</v>
      </c>
      <c r="H13" s="36">
        <f t="shared" si="0"/>
        <v>9517.6</v>
      </c>
      <c r="J13" s="36">
        <v>47.588000000000001</v>
      </c>
      <c r="K13" s="36">
        <f t="shared" si="1"/>
        <v>47588</v>
      </c>
      <c r="N13" s="36">
        <v>283127</v>
      </c>
      <c r="O13" s="36">
        <f t="shared" si="2"/>
        <v>0.58559866634400792</v>
      </c>
      <c r="Q13" s="36">
        <v>13.566000000000001</v>
      </c>
      <c r="R13" s="36">
        <v>14.916</v>
      </c>
      <c r="S13" s="36">
        <f t="shared" si="3"/>
        <v>28482</v>
      </c>
      <c r="T13" s="36">
        <f>SUM(S$9:S13)</f>
        <v>216509</v>
      </c>
      <c r="U13" s="36">
        <f t="shared" si="4"/>
        <v>0.64326545407008184</v>
      </c>
    </row>
    <row r="14" spans="1:21" x14ac:dyDescent="0.2">
      <c r="A14" s="38">
        <v>2000</v>
      </c>
      <c r="B14" s="38" t="s">
        <v>186</v>
      </c>
      <c r="C14" s="38" t="s">
        <v>44</v>
      </c>
      <c r="D14" s="38" t="s">
        <v>178</v>
      </c>
      <c r="E14" s="38">
        <v>33695</v>
      </c>
      <c r="F14" s="38"/>
      <c r="G14" s="38">
        <v>6739</v>
      </c>
      <c r="H14" s="36">
        <f t="shared" si="0"/>
        <v>6739</v>
      </c>
      <c r="J14" s="36">
        <v>33.695</v>
      </c>
      <c r="K14" s="36">
        <f t="shared" si="1"/>
        <v>33695</v>
      </c>
      <c r="N14" s="36">
        <v>330715</v>
      </c>
      <c r="O14" s="36">
        <f t="shared" si="2"/>
        <v>0.68402611880872755</v>
      </c>
      <c r="Q14" s="36">
        <v>11.315</v>
      </c>
      <c r="R14" s="36">
        <v>12.727</v>
      </c>
      <c r="S14" s="36">
        <f t="shared" si="3"/>
        <v>24042</v>
      </c>
      <c r="T14" s="36">
        <f>SUM(S$9:S14)</f>
        <v>240551</v>
      </c>
      <c r="U14" s="36">
        <f t="shared" si="4"/>
        <v>0.7146961476983047</v>
      </c>
    </row>
    <row r="15" spans="1:21" x14ac:dyDescent="0.2">
      <c r="A15" s="39">
        <v>2000</v>
      </c>
      <c r="B15" s="39" t="s">
        <v>186</v>
      </c>
      <c r="C15" s="39" t="s">
        <v>44</v>
      </c>
      <c r="D15" s="39" t="s">
        <v>179</v>
      </c>
      <c r="E15" s="39">
        <v>23999</v>
      </c>
      <c r="F15" s="39"/>
      <c r="G15" s="39">
        <v>4799.8</v>
      </c>
      <c r="H15" s="36">
        <f t="shared" si="0"/>
        <v>4799.8</v>
      </c>
      <c r="J15" s="36">
        <v>23.998999999999999</v>
      </c>
      <c r="K15" s="36">
        <f t="shared" si="1"/>
        <v>23999</v>
      </c>
      <c r="N15" s="36">
        <v>364410</v>
      </c>
      <c r="O15" s="36">
        <f t="shared" si="2"/>
        <v>0.75371833135808286</v>
      </c>
      <c r="Q15" s="36">
        <v>9.49</v>
      </c>
      <c r="R15" s="36">
        <v>10.613</v>
      </c>
      <c r="S15" s="36">
        <f t="shared" si="3"/>
        <v>20103</v>
      </c>
      <c r="T15" s="36">
        <f>SUM(S$9:S15)</f>
        <v>260654</v>
      </c>
      <c r="U15" s="36">
        <f t="shared" si="4"/>
        <v>0.77442375912864181</v>
      </c>
    </row>
    <row r="16" spans="1:21" x14ac:dyDescent="0.2">
      <c r="A16" s="38">
        <v>2000</v>
      </c>
      <c r="B16" s="38" t="s">
        <v>186</v>
      </c>
      <c r="C16" s="38" t="s">
        <v>44</v>
      </c>
      <c r="D16" s="38" t="s">
        <v>180</v>
      </c>
      <c r="E16" s="38">
        <v>18957</v>
      </c>
      <c r="F16" s="38"/>
      <c r="G16" s="38">
        <v>3791.4</v>
      </c>
      <c r="H16" s="36">
        <f t="shared" si="0"/>
        <v>3791.4</v>
      </c>
      <c r="J16" s="36">
        <v>18.957000000000001</v>
      </c>
      <c r="K16" s="36">
        <f t="shared" si="1"/>
        <v>18957</v>
      </c>
      <c r="N16" s="36">
        <v>388409</v>
      </c>
      <c r="O16" s="36">
        <f t="shared" si="2"/>
        <v>0.80335606422562944</v>
      </c>
      <c r="Q16" s="36">
        <v>7.9950000000000001</v>
      </c>
      <c r="R16" s="36">
        <v>8.782</v>
      </c>
      <c r="S16" s="36">
        <f t="shared" si="3"/>
        <v>16777</v>
      </c>
      <c r="T16" s="36">
        <f>SUM(S$9:S16)</f>
        <v>277431</v>
      </c>
      <c r="U16" s="36">
        <f t="shared" si="4"/>
        <v>0.8242695601019675</v>
      </c>
    </row>
    <row r="17" spans="1:21" x14ac:dyDescent="0.2">
      <c r="A17" s="39">
        <v>2000</v>
      </c>
      <c r="B17" s="39" t="s">
        <v>186</v>
      </c>
      <c r="C17" s="39" t="s">
        <v>44</v>
      </c>
      <c r="D17" s="39" t="s">
        <v>181</v>
      </c>
      <c r="E17" s="39">
        <v>17492</v>
      </c>
      <c r="F17" s="39"/>
      <c r="G17" s="39">
        <v>3498.4</v>
      </c>
      <c r="H17" s="36">
        <f t="shared" si="0"/>
        <v>3498.4</v>
      </c>
      <c r="J17" s="36">
        <v>17.492000000000001</v>
      </c>
      <c r="K17" s="36">
        <f t="shared" si="1"/>
        <v>17492</v>
      </c>
      <c r="N17" s="36">
        <v>407366</v>
      </c>
      <c r="O17" s="36">
        <f t="shared" si="2"/>
        <v>0.84256530219263137</v>
      </c>
      <c r="Q17" s="36">
        <v>6.8170000000000002</v>
      </c>
      <c r="R17" s="36">
        <v>7.226</v>
      </c>
      <c r="S17" s="36">
        <f t="shared" si="3"/>
        <v>14043</v>
      </c>
      <c r="T17" s="36">
        <f>SUM(S$9:S17)</f>
        <v>291474</v>
      </c>
      <c r="U17" s="36">
        <f t="shared" si="4"/>
        <v>0.86599242968940338</v>
      </c>
    </row>
    <row r="18" spans="1:21" x14ac:dyDescent="0.2">
      <c r="A18" s="38">
        <v>2000</v>
      </c>
      <c r="B18" s="38" t="s">
        <v>186</v>
      </c>
      <c r="C18" s="38" t="s">
        <v>44</v>
      </c>
      <c r="D18" s="38" t="s">
        <v>182</v>
      </c>
      <c r="E18" s="38">
        <v>15603</v>
      </c>
      <c r="F18" s="38"/>
      <c r="G18" s="38">
        <v>3120.6000000000004</v>
      </c>
      <c r="H18" s="36">
        <f t="shared" si="0"/>
        <v>3120.6000000000004</v>
      </c>
      <c r="J18" s="36">
        <v>15.603</v>
      </c>
      <c r="K18" s="36">
        <f t="shared" si="1"/>
        <v>15603</v>
      </c>
      <c r="N18" s="36">
        <v>424858</v>
      </c>
      <c r="O18" s="36">
        <f t="shared" si="2"/>
        <v>0.87874444396183526</v>
      </c>
      <c r="Q18" s="36">
        <v>5.617</v>
      </c>
      <c r="R18" s="36">
        <v>5.9329999999999998</v>
      </c>
      <c r="S18" s="36">
        <f t="shared" si="3"/>
        <v>11550</v>
      </c>
      <c r="T18" s="36">
        <f>SUM(S$9:S18)</f>
        <v>303024</v>
      </c>
      <c r="U18" s="36">
        <f t="shared" si="4"/>
        <v>0.90030839805334872</v>
      </c>
    </row>
    <row r="19" spans="1:21" x14ac:dyDescent="0.2">
      <c r="A19" s="39">
        <v>2000</v>
      </c>
      <c r="B19" s="39" t="s">
        <v>186</v>
      </c>
      <c r="C19" s="39" t="s">
        <v>44</v>
      </c>
      <c r="D19" s="39" t="s">
        <v>183</v>
      </c>
      <c r="E19" s="39">
        <v>13548</v>
      </c>
      <c r="F19" s="39"/>
      <c r="G19" s="39">
        <v>2709.6000000000004</v>
      </c>
      <c r="H19" s="36">
        <f t="shared" si="0"/>
        <v>2709.6000000000004</v>
      </c>
      <c r="J19" s="36">
        <v>13.548</v>
      </c>
      <c r="K19" s="36">
        <f t="shared" si="1"/>
        <v>13548</v>
      </c>
      <c r="N19" s="36">
        <v>440461</v>
      </c>
      <c r="O19" s="36">
        <f t="shared" si="2"/>
        <v>0.9110165197121719</v>
      </c>
      <c r="Q19" s="36">
        <v>4.6760000000000002</v>
      </c>
      <c r="R19" s="36">
        <v>4.8719999999999999</v>
      </c>
      <c r="S19" s="36">
        <f t="shared" si="3"/>
        <v>9548</v>
      </c>
      <c r="T19" s="36">
        <f>SUM(S$9:S19)</f>
        <v>312572</v>
      </c>
      <c r="U19" s="36">
        <f t="shared" si="4"/>
        <v>0.92867626523421021</v>
      </c>
    </row>
    <row r="20" spans="1:21" x14ac:dyDescent="0.2">
      <c r="A20" s="38">
        <v>2000</v>
      </c>
      <c r="B20" s="38" t="s">
        <v>186</v>
      </c>
      <c r="C20" s="38" t="s">
        <v>44</v>
      </c>
      <c r="D20" s="38" t="s">
        <v>184</v>
      </c>
      <c r="E20" s="38">
        <v>10496</v>
      </c>
      <c r="F20" s="38"/>
      <c r="G20" s="38">
        <v>2099.2000000000003</v>
      </c>
      <c r="H20" s="36">
        <f t="shared" si="0"/>
        <v>2099.2000000000003</v>
      </c>
      <c r="J20" s="36">
        <v>10.496</v>
      </c>
      <c r="K20" s="36">
        <f t="shared" si="1"/>
        <v>10496</v>
      </c>
      <c r="N20" s="36">
        <v>454009</v>
      </c>
      <c r="O20" s="36">
        <f t="shared" si="2"/>
        <v>0.93903818748539247</v>
      </c>
      <c r="Q20" s="36">
        <v>3.742</v>
      </c>
      <c r="R20" s="36">
        <v>4.0819999999999999</v>
      </c>
      <c r="S20" s="36">
        <f t="shared" si="3"/>
        <v>7824</v>
      </c>
      <c r="T20" s="36">
        <f>SUM(S$9:S20)</f>
        <v>320396</v>
      </c>
      <c r="U20" s="36">
        <f t="shared" si="4"/>
        <v>0.95192199133633215</v>
      </c>
    </row>
    <row r="21" spans="1:21" x14ac:dyDescent="0.2">
      <c r="A21" s="39">
        <v>2000</v>
      </c>
      <c r="B21" s="39" t="s">
        <v>186</v>
      </c>
      <c r="C21" s="39" t="s">
        <v>44</v>
      </c>
      <c r="D21" s="39" t="s">
        <v>185</v>
      </c>
      <c r="E21" s="39">
        <v>7453</v>
      </c>
      <c r="F21" s="39"/>
      <c r="G21" s="39">
        <v>1490.6000000000001</v>
      </c>
      <c r="H21" s="36">
        <f t="shared" si="0"/>
        <v>1490.6000000000001</v>
      </c>
      <c r="J21" s="36">
        <v>7.4530000000000003</v>
      </c>
      <c r="K21" s="36">
        <f t="shared" si="1"/>
        <v>7453</v>
      </c>
      <c r="N21" s="36">
        <v>464505</v>
      </c>
      <c r="O21" s="36">
        <f t="shared" si="2"/>
        <v>0.96074732720695455</v>
      </c>
      <c r="Q21" s="36">
        <v>2.9209999999999998</v>
      </c>
      <c r="R21" s="36">
        <v>3.2639999999999998</v>
      </c>
      <c r="S21" s="36">
        <f t="shared" si="3"/>
        <v>6185</v>
      </c>
      <c r="T21" s="36">
        <f>SUM(S$9:S21)</f>
        <v>326581</v>
      </c>
      <c r="U21" s="36">
        <f t="shared" si="4"/>
        <v>0.97029811811823707</v>
      </c>
    </row>
    <row r="22" spans="1:21" x14ac:dyDescent="0.2">
      <c r="A22" s="38">
        <v>2000</v>
      </c>
      <c r="B22" s="38" t="s">
        <v>186</v>
      </c>
      <c r="C22" s="38" t="s">
        <v>44</v>
      </c>
      <c r="D22" s="38" t="s">
        <v>190</v>
      </c>
      <c r="E22" s="38">
        <v>5251</v>
      </c>
      <c r="F22" s="38"/>
      <c r="G22" s="38">
        <v>1050.2</v>
      </c>
      <c r="H22" s="36">
        <f t="shared" si="0"/>
        <v>1050.2</v>
      </c>
      <c r="J22" s="36">
        <v>5.2510000000000003</v>
      </c>
      <c r="K22" s="36">
        <f t="shared" si="1"/>
        <v>5251</v>
      </c>
      <c r="N22" s="36">
        <v>471958</v>
      </c>
      <c r="O22" s="36">
        <f t="shared" si="2"/>
        <v>0.97616255380230532</v>
      </c>
      <c r="Q22" s="36">
        <v>2.0299999999999998</v>
      </c>
      <c r="R22" s="36">
        <v>2.524</v>
      </c>
      <c r="S22" s="36">
        <f t="shared" si="3"/>
        <v>4554</v>
      </c>
      <c r="T22" s="36">
        <f>SUM(S$9:S22)</f>
        <v>331135</v>
      </c>
      <c r="U22" s="36">
        <f t="shared" si="4"/>
        <v>0.9838284142160213</v>
      </c>
    </row>
    <row r="23" spans="1:21" x14ac:dyDescent="0.2">
      <c r="A23" s="39">
        <v>2000</v>
      </c>
      <c r="B23" s="39" t="s">
        <v>186</v>
      </c>
      <c r="C23" s="39" t="s">
        <v>44</v>
      </c>
      <c r="D23" s="39" t="s">
        <v>191</v>
      </c>
      <c r="E23" s="39">
        <v>3353</v>
      </c>
      <c r="F23" s="39"/>
      <c r="G23" s="39">
        <v>670.6</v>
      </c>
      <c r="H23" s="36">
        <f t="shared" si="0"/>
        <v>670.6</v>
      </c>
      <c r="J23" s="36">
        <v>3.3530000000000002</v>
      </c>
      <c r="K23" s="36">
        <f t="shared" si="1"/>
        <v>3353</v>
      </c>
      <c r="N23" s="36">
        <v>477209</v>
      </c>
      <c r="O23" s="36">
        <f t="shared" si="2"/>
        <v>0.9870233286382355</v>
      </c>
      <c r="Q23" s="36">
        <v>1.242</v>
      </c>
      <c r="R23" s="36">
        <v>1.71</v>
      </c>
      <c r="S23" s="36">
        <f t="shared" si="3"/>
        <v>2952</v>
      </c>
      <c r="T23" s="36">
        <f>SUM(S$9:S23)</f>
        <v>334087</v>
      </c>
      <c r="U23" s="36">
        <f t="shared" si="4"/>
        <v>0.99259904093553353</v>
      </c>
    </row>
    <row r="24" spans="1:21" x14ac:dyDescent="0.2">
      <c r="A24" s="38">
        <v>2000</v>
      </c>
      <c r="B24" s="38" t="s">
        <v>186</v>
      </c>
      <c r="C24" s="38" t="s">
        <v>44</v>
      </c>
      <c r="D24" s="38" t="s">
        <v>192</v>
      </c>
      <c r="E24" s="38">
        <v>1846</v>
      </c>
      <c r="F24" s="38"/>
      <c r="G24" s="38">
        <v>369.20000000000005</v>
      </c>
      <c r="H24" s="36">
        <f t="shared" si="0"/>
        <v>369.20000000000005</v>
      </c>
      <c r="J24" s="36">
        <v>1.8460000000000001</v>
      </c>
      <c r="K24" s="36">
        <f t="shared" si="1"/>
        <v>1846</v>
      </c>
      <c r="N24" s="36">
        <v>480562</v>
      </c>
      <c r="O24" s="36">
        <f t="shared" si="2"/>
        <v>0.99395842252985112</v>
      </c>
      <c r="Q24" s="36">
        <v>0.68100000000000005</v>
      </c>
      <c r="R24" s="36">
        <v>0.97599999999999998</v>
      </c>
      <c r="S24" s="36">
        <f t="shared" si="3"/>
        <v>1657</v>
      </c>
      <c r="T24" s="36">
        <f>SUM(S$9:S24)</f>
        <v>335744</v>
      </c>
      <c r="U24" s="36">
        <f t="shared" si="4"/>
        <v>0.99752211968696702</v>
      </c>
    </row>
    <row r="25" spans="1:21" x14ac:dyDescent="0.2">
      <c r="A25" s="39">
        <v>2000</v>
      </c>
      <c r="B25" s="39" t="s">
        <v>186</v>
      </c>
      <c r="C25" s="39" t="s">
        <v>44</v>
      </c>
      <c r="D25" s="39" t="s">
        <v>254</v>
      </c>
      <c r="E25" s="39">
        <v>818</v>
      </c>
      <c r="F25" s="39"/>
      <c r="G25" s="39">
        <v>163.60000000000002</v>
      </c>
      <c r="H25" s="36">
        <f t="shared" si="0"/>
        <v>163.60000000000002</v>
      </c>
      <c r="J25" s="36">
        <v>0.81799999999999995</v>
      </c>
      <c r="K25" s="36">
        <f t="shared" si="1"/>
        <v>818</v>
      </c>
      <c r="N25" s="36">
        <v>482408</v>
      </c>
      <c r="O25" s="36">
        <f t="shared" si="2"/>
        <v>0.99777655057158166</v>
      </c>
      <c r="Q25" s="36">
        <v>0.255</v>
      </c>
      <c r="R25" s="36">
        <v>0.40799999999999997</v>
      </c>
      <c r="S25" s="36">
        <f t="shared" si="3"/>
        <v>663</v>
      </c>
      <c r="T25" s="36">
        <f>SUM(S$9:S25)</f>
        <v>336407</v>
      </c>
      <c r="U25" s="36">
        <f t="shared" si="4"/>
        <v>0.99949194540344288</v>
      </c>
    </row>
    <row r="26" spans="1:21" x14ac:dyDescent="0.2">
      <c r="A26" s="38">
        <v>2000</v>
      </c>
      <c r="B26" s="38" t="s">
        <v>186</v>
      </c>
      <c r="C26" s="38" t="s">
        <v>44</v>
      </c>
      <c r="D26" s="38" t="s">
        <v>255</v>
      </c>
      <c r="E26" s="38">
        <v>223</v>
      </c>
      <c r="F26" s="38"/>
      <c r="G26" s="38">
        <v>44.6</v>
      </c>
      <c r="H26" s="36">
        <f t="shared" ref="H26:H28" si="5">0.2*E26</f>
        <v>44.6</v>
      </c>
      <c r="J26" s="36">
        <v>0.223</v>
      </c>
      <c r="K26" s="36">
        <f t="shared" si="1"/>
        <v>223</v>
      </c>
      <c r="N26" s="36">
        <v>483226</v>
      </c>
      <c r="O26" s="36">
        <f t="shared" si="2"/>
        <v>0.99946844046222927</v>
      </c>
      <c r="Q26" s="36">
        <v>5.6000000000000001E-2</v>
      </c>
      <c r="R26" s="36">
        <v>9.6000000000000002E-2</v>
      </c>
      <c r="S26" s="36">
        <f t="shared" si="3"/>
        <v>152</v>
      </c>
      <c r="T26" s="36">
        <f>SUM(S$9:S26)</f>
        <v>336559</v>
      </c>
      <c r="U26" s="36">
        <f t="shared" si="4"/>
        <v>0.99994354948927144</v>
      </c>
    </row>
    <row r="27" spans="1:21" x14ac:dyDescent="0.2">
      <c r="A27" s="39">
        <v>2000</v>
      </c>
      <c r="B27" s="39" t="s">
        <v>186</v>
      </c>
      <c r="C27" s="39" t="s">
        <v>44</v>
      </c>
      <c r="D27" s="39" t="s">
        <v>256</v>
      </c>
      <c r="E27" s="39">
        <v>32</v>
      </c>
      <c r="F27" s="39"/>
      <c r="G27" s="39">
        <v>6.4</v>
      </c>
      <c r="H27" s="36">
        <f t="shared" si="5"/>
        <v>6.4</v>
      </c>
      <c r="J27" s="36">
        <v>3.2000000000000001E-2</v>
      </c>
      <c r="K27" s="36">
        <f t="shared" si="1"/>
        <v>32</v>
      </c>
      <c r="N27" s="36">
        <v>483449</v>
      </c>
      <c r="O27" s="36">
        <f t="shared" si="2"/>
        <v>0.99992967694831048</v>
      </c>
      <c r="Q27" s="36">
        <v>7.0000000000000001E-3</v>
      </c>
      <c r="R27" s="36">
        <v>1.2E-2</v>
      </c>
      <c r="S27" s="36">
        <f t="shared" si="3"/>
        <v>19</v>
      </c>
      <c r="T27" s="36">
        <f>SUM(S$9:S27)</f>
        <v>336578</v>
      </c>
      <c r="U27" s="36">
        <f t="shared" si="4"/>
        <v>1</v>
      </c>
    </row>
    <row r="28" spans="1:21" x14ac:dyDescent="0.2">
      <c r="A28" s="38">
        <v>2000</v>
      </c>
      <c r="B28" s="38" t="s">
        <v>186</v>
      </c>
      <c r="C28" s="38" t="s">
        <v>44</v>
      </c>
      <c r="D28" s="38" t="s">
        <v>257</v>
      </c>
      <c r="E28" s="38">
        <v>2</v>
      </c>
      <c r="F28" s="38"/>
      <c r="G28" s="38">
        <v>0.4</v>
      </c>
      <c r="H28" s="36">
        <f t="shared" si="5"/>
        <v>0.4</v>
      </c>
      <c r="J28" s="36">
        <v>2E-3</v>
      </c>
      <c r="K28" s="36">
        <f t="shared" si="1"/>
        <v>2</v>
      </c>
      <c r="N28" s="36">
        <v>483483</v>
      </c>
      <c r="O28" s="36">
        <f t="shared" si="2"/>
        <v>1</v>
      </c>
      <c r="Q28" s="36">
        <v>0</v>
      </c>
      <c r="R28" s="36">
        <v>0</v>
      </c>
      <c r="S28" s="36">
        <f t="shared" si="3"/>
        <v>0</v>
      </c>
      <c r="T28" s="36">
        <f>SUM(S$9:S28)</f>
        <v>336578</v>
      </c>
      <c r="U28" s="36">
        <f t="shared" si="4"/>
        <v>1</v>
      </c>
    </row>
    <row r="29" spans="1:21" x14ac:dyDescent="0.2">
      <c r="A29" s="39"/>
      <c r="B29" s="39"/>
      <c r="C29" s="39"/>
      <c r="D29" s="39"/>
      <c r="E29" s="39"/>
      <c r="F29" s="39"/>
      <c r="G29" s="39"/>
      <c r="K29" s="36">
        <f>SUM(E9:E28)</f>
        <v>483483</v>
      </c>
      <c r="S29" s="36">
        <f>SUM(S9:S28)</f>
        <v>336578</v>
      </c>
    </row>
    <row r="30" spans="1:21" x14ac:dyDescent="0.2">
      <c r="A30" s="38">
        <v>2005</v>
      </c>
      <c r="B30" s="38" t="s">
        <v>186</v>
      </c>
      <c r="C30" s="38" t="s">
        <v>44</v>
      </c>
      <c r="D30" s="38" t="s">
        <v>187</v>
      </c>
      <c r="E30" s="38">
        <v>72479</v>
      </c>
      <c r="F30" s="38"/>
      <c r="G30" s="38">
        <v>14495.800000000001</v>
      </c>
      <c r="H30" s="36">
        <f>0.2*E30</f>
        <v>14495.800000000001</v>
      </c>
      <c r="J30" s="36">
        <v>72.478999999999999</v>
      </c>
      <c r="K30" s="36">
        <f>1000*J30</f>
        <v>72479</v>
      </c>
    </row>
    <row r="31" spans="1:21" x14ac:dyDescent="0.2">
      <c r="A31" s="39">
        <v>2005</v>
      </c>
      <c r="B31" s="39" t="s">
        <v>186</v>
      </c>
      <c r="C31" s="39" t="s">
        <v>44</v>
      </c>
      <c r="D31" s="39" t="s">
        <v>188</v>
      </c>
      <c r="E31" s="39">
        <v>69690</v>
      </c>
      <c r="F31" s="39"/>
      <c r="G31" s="39">
        <v>13938</v>
      </c>
      <c r="H31" s="36">
        <f t="shared" ref="H31:H49" si="6">0.2*E31</f>
        <v>13938</v>
      </c>
      <c r="J31" s="36">
        <v>69.69</v>
      </c>
      <c r="K31" s="36">
        <f t="shared" ref="K31:K49" si="7">1000*J31</f>
        <v>69690</v>
      </c>
    </row>
    <row r="32" spans="1:21" x14ac:dyDescent="0.2">
      <c r="A32" s="38">
        <v>2005</v>
      </c>
      <c r="B32" s="38" t="s">
        <v>186</v>
      </c>
      <c r="C32" s="38" t="s">
        <v>44</v>
      </c>
      <c r="D32" s="38" t="s">
        <v>189</v>
      </c>
      <c r="E32" s="38">
        <v>71269</v>
      </c>
      <c r="F32" s="38"/>
      <c r="G32" s="38">
        <v>14253.800000000001</v>
      </c>
      <c r="H32" s="36">
        <f t="shared" si="6"/>
        <v>14253.800000000001</v>
      </c>
      <c r="J32" s="36">
        <v>71.269000000000005</v>
      </c>
      <c r="K32" s="36">
        <f t="shared" si="7"/>
        <v>71269</v>
      </c>
    </row>
    <row r="33" spans="1:11" x14ac:dyDescent="0.2">
      <c r="A33" s="39">
        <v>2005</v>
      </c>
      <c r="B33" s="39" t="s">
        <v>186</v>
      </c>
      <c r="C33" s="39" t="s">
        <v>44</v>
      </c>
      <c r="D33" s="39" t="s">
        <v>176</v>
      </c>
      <c r="E33" s="39">
        <v>61031</v>
      </c>
      <c r="F33" s="39"/>
      <c r="G33" s="39">
        <v>12206.2</v>
      </c>
      <c r="H33" s="36">
        <f t="shared" si="6"/>
        <v>12206.2</v>
      </c>
      <c r="J33" s="36">
        <v>61.030999999999999</v>
      </c>
      <c r="K33" s="36">
        <f t="shared" si="7"/>
        <v>61031</v>
      </c>
    </row>
    <row r="34" spans="1:11" x14ac:dyDescent="0.2">
      <c r="A34" s="38">
        <v>2005</v>
      </c>
      <c r="B34" s="38" t="s">
        <v>186</v>
      </c>
      <c r="C34" s="38" t="s">
        <v>44</v>
      </c>
      <c r="D34" s="38" t="s">
        <v>177</v>
      </c>
      <c r="E34" s="38">
        <v>49418</v>
      </c>
      <c r="F34" s="38"/>
      <c r="G34" s="38">
        <v>9883.6</v>
      </c>
      <c r="H34" s="36">
        <f t="shared" si="6"/>
        <v>9883.6</v>
      </c>
      <c r="J34" s="36">
        <v>49.417999999999999</v>
      </c>
      <c r="K34" s="36">
        <f t="shared" si="7"/>
        <v>49418</v>
      </c>
    </row>
    <row r="35" spans="1:11" x14ac:dyDescent="0.2">
      <c r="A35" s="39">
        <v>2005</v>
      </c>
      <c r="B35" s="39" t="s">
        <v>186</v>
      </c>
      <c r="C35" s="39" t="s">
        <v>44</v>
      </c>
      <c r="D35" s="39" t="s">
        <v>178</v>
      </c>
      <c r="E35" s="39">
        <v>34632</v>
      </c>
      <c r="F35" s="39"/>
      <c r="G35" s="39">
        <v>6926.4000000000005</v>
      </c>
      <c r="H35" s="36">
        <f t="shared" si="6"/>
        <v>6926.4000000000005</v>
      </c>
      <c r="J35" s="36">
        <v>34.631999999999998</v>
      </c>
      <c r="K35" s="36">
        <f t="shared" si="7"/>
        <v>34632</v>
      </c>
    </row>
    <row r="36" spans="1:11" x14ac:dyDescent="0.2">
      <c r="A36" s="38">
        <v>2005</v>
      </c>
      <c r="B36" s="38" t="s">
        <v>186</v>
      </c>
      <c r="C36" s="38" t="s">
        <v>44</v>
      </c>
      <c r="D36" s="38" t="s">
        <v>179</v>
      </c>
      <c r="E36" s="38">
        <v>28938</v>
      </c>
      <c r="F36" s="38"/>
      <c r="G36" s="38">
        <v>5787.6</v>
      </c>
      <c r="H36" s="36">
        <f t="shared" si="6"/>
        <v>5787.6</v>
      </c>
      <c r="J36" s="36">
        <v>28.937999999999999</v>
      </c>
      <c r="K36" s="36">
        <f t="shared" si="7"/>
        <v>28938</v>
      </c>
    </row>
    <row r="37" spans="1:11" x14ac:dyDescent="0.2">
      <c r="A37" s="39">
        <v>2005</v>
      </c>
      <c r="B37" s="39" t="s">
        <v>186</v>
      </c>
      <c r="C37" s="39" t="s">
        <v>44</v>
      </c>
      <c r="D37" s="39" t="s">
        <v>180</v>
      </c>
      <c r="E37" s="39">
        <v>22774</v>
      </c>
      <c r="F37" s="39"/>
      <c r="G37" s="39">
        <v>4554.8</v>
      </c>
      <c r="H37" s="36">
        <f t="shared" si="6"/>
        <v>4554.8</v>
      </c>
      <c r="J37" s="36">
        <v>22.774000000000001</v>
      </c>
      <c r="K37" s="36">
        <f t="shared" si="7"/>
        <v>22774</v>
      </c>
    </row>
    <row r="38" spans="1:11" x14ac:dyDescent="0.2">
      <c r="A38" s="38">
        <v>2005</v>
      </c>
      <c r="B38" s="38" t="s">
        <v>186</v>
      </c>
      <c r="C38" s="38" t="s">
        <v>44</v>
      </c>
      <c r="D38" s="38" t="s">
        <v>181</v>
      </c>
      <c r="E38" s="38">
        <v>17145</v>
      </c>
      <c r="F38" s="38"/>
      <c r="G38" s="38">
        <v>3429</v>
      </c>
      <c r="H38" s="36">
        <f t="shared" si="6"/>
        <v>3429</v>
      </c>
      <c r="J38" s="36">
        <v>17.145</v>
      </c>
      <c r="K38" s="36">
        <f t="shared" si="7"/>
        <v>17145</v>
      </c>
    </row>
    <row r="39" spans="1:11" x14ac:dyDescent="0.2">
      <c r="A39" s="39">
        <v>2005</v>
      </c>
      <c r="B39" s="39" t="s">
        <v>186</v>
      </c>
      <c r="C39" s="39" t="s">
        <v>44</v>
      </c>
      <c r="D39" s="39" t="s">
        <v>182</v>
      </c>
      <c r="E39" s="39">
        <v>15335</v>
      </c>
      <c r="F39" s="39"/>
      <c r="G39" s="39">
        <v>3067</v>
      </c>
      <c r="H39" s="36">
        <f t="shared" si="6"/>
        <v>3067</v>
      </c>
      <c r="J39" s="36">
        <v>15.335000000000001</v>
      </c>
      <c r="K39" s="36">
        <f t="shared" si="7"/>
        <v>15335</v>
      </c>
    </row>
    <row r="40" spans="1:11" x14ac:dyDescent="0.2">
      <c r="A40" s="38">
        <v>2005</v>
      </c>
      <c r="B40" s="38" t="s">
        <v>186</v>
      </c>
      <c r="C40" s="38" t="s">
        <v>44</v>
      </c>
      <c r="D40" s="38" t="s">
        <v>183</v>
      </c>
      <c r="E40" s="38">
        <v>13429</v>
      </c>
      <c r="F40" s="38"/>
      <c r="G40" s="38">
        <v>2685.8</v>
      </c>
      <c r="H40" s="36">
        <f t="shared" si="6"/>
        <v>2685.8</v>
      </c>
      <c r="J40" s="36">
        <v>13.429</v>
      </c>
      <c r="K40" s="36">
        <f t="shared" si="7"/>
        <v>13429</v>
      </c>
    </row>
    <row r="41" spans="1:11" x14ac:dyDescent="0.2">
      <c r="A41" s="39">
        <v>2005</v>
      </c>
      <c r="B41" s="39" t="s">
        <v>186</v>
      </c>
      <c r="C41" s="39" t="s">
        <v>44</v>
      </c>
      <c r="D41" s="39" t="s">
        <v>184</v>
      </c>
      <c r="E41" s="39">
        <v>11578</v>
      </c>
      <c r="F41" s="39"/>
      <c r="G41" s="39">
        <v>2315.6</v>
      </c>
      <c r="H41" s="36">
        <f t="shared" si="6"/>
        <v>2315.6</v>
      </c>
      <c r="J41" s="36">
        <v>11.577999999999999</v>
      </c>
      <c r="K41" s="36">
        <f t="shared" si="7"/>
        <v>11578</v>
      </c>
    </row>
    <row r="42" spans="1:11" x14ac:dyDescent="0.2">
      <c r="A42" s="38">
        <v>2005</v>
      </c>
      <c r="B42" s="38" t="s">
        <v>186</v>
      </c>
      <c r="C42" s="38" t="s">
        <v>44</v>
      </c>
      <c r="D42" s="38" t="s">
        <v>185</v>
      </c>
      <c r="E42" s="38">
        <v>8778</v>
      </c>
      <c r="F42" s="38"/>
      <c r="G42" s="38">
        <v>1755.6000000000001</v>
      </c>
      <c r="H42" s="36">
        <f t="shared" si="6"/>
        <v>1755.6000000000001</v>
      </c>
      <c r="J42" s="36">
        <v>8.7780000000000005</v>
      </c>
      <c r="K42" s="36">
        <f t="shared" si="7"/>
        <v>8778</v>
      </c>
    </row>
    <row r="43" spans="1:11" x14ac:dyDescent="0.2">
      <c r="A43" s="39">
        <v>2005</v>
      </c>
      <c r="B43" s="39" t="s">
        <v>186</v>
      </c>
      <c r="C43" s="39" t="s">
        <v>44</v>
      </c>
      <c r="D43" s="39" t="s">
        <v>190</v>
      </c>
      <c r="E43" s="39">
        <v>5992</v>
      </c>
      <c r="F43" s="39"/>
      <c r="G43" s="39">
        <v>1198.4000000000001</v>
      </c>
      <c r="H43" s="36">
        <f t="shared" si="6"/>
        <v>1198.4000000000001</v>
      </c>
      <c r="J43" s="36">
        <v>5.992</v>
      </c>
      <c r="K43" s="36">
        <f t="shared" si="7"/>
        <v>5992</v>
      </c>
    </row>
    <row r="44" spans="1:11" x14ac:dyDescent="0.2">
      <c r="A44" s="38">
        <v>2005</v>
      </c>
      <c r="B44" s="38" t="s">
        <v>186</v>
      </c>
      <c r="C44" s="38" t="s">
        <v>44</v>
      </c>
      <c r="D44" s="38" t="s">
        <v>191</v>
      </c>
      <c r="E44" s="38">
        <v>3689</v>
      </c>
      <c r="F44" s="38"/>
      <c r="G44" s="38">
        <v>737.80000000000007</v>
      </c>
      <c r="H44" s="36">
        <f t="shared" si="6"/>
        <v>737.80000000000007</v>
      </c>
      <c r="J44" s="36">
        <v>3.6890000000000001</v>
      </c>
      <c r="K44" s="36">
        <f t="shared" si="7"/>
        <v>3689</v>
      </c>
    </row>
    <row r="45" spans="1:11" x14ac:dyDescent="0.2">
      <c r="A45" s="39">
        <v>2005</v>
      </c>
      <c r="B45" s="39" t="s">
        <v>186</v>
      </c>
      <c r="C45" s="39" t="s">
        <v>44</v>
      </c>
      <c r="D45" s="39" t="s">
        <v>192</v>
      </c>
      <c r="E45" s="39">
        <v>1945</v>
      </c>
      <c r="F45" s="39"/>
      <c r="G45" s="39">
        <v>389</v>
      </c>
      <c r="H45" s="36">
        <f t="shared" si="6"/>
        <v>389</v>
      </c>
      <c r="J45" s="36">
        <v>1.9450000000000001</v>
      </c>
      <c r="K45" s="36">
        <f t="shared" si="7"/>
        <v>1945</v>
      </c>
    </row>
    <row r="46" spans="1:11" x14ac:dyDescent="0.2">
      <c r="A46" s="38">
        <v>2005</v>
      </c>
      <c r="B46" s="38" t="s">
        <v>186</v>
      </c>
      <c r="C46" s="38" t="s">
        <v>44</v>
      </c>
      <c r="D46" s="38" t="s">
        <v>254</v>
      </c>
      <c r="E46" s="38">
        <v>832</v>
      </c>
      <c r="F46" s="38"/>
      <c r="G46" s="38">
        <v>166.4</v>
      </c>
      <c r="H46" s="36">
        <f t="shared" si="6"/>
        <v>166.4</v>
      </c>
      <c r="J46" s="36">
        <v>0.83199999999999996</v>
      </c>
      <c r="K46" s="36">
        <f t="shared" si="7"/>
        <v>832</v>
      </c>
    </row>
    <row r="47" spans="1:11" x14ac:dyDescent="0.2">
      <c r="A47" s="39">
        <v>2005</v>
      </c>
      <c r="B47" s="39" t="s">
        <v>186</v>
      </c>
      <c r="C47" s="39" t="s">
        <v>44</v>
      </c>
      <c r="D47" s="39" t="s">
        <v>255</v>
      </c>
      <c r="E47" s="39">
        <v>237</v>
      </c>
      <c r="F47" s="39"/>
      <c r="G47" s="39">
        <v>47.400000000000006</v>
      </c>
      <c r="H47" s="36">
        <f t="shared" si="6"/>
        <v>47.400000000000006</v>
      </c>
      <c r="J47" s="36">
        <v>0.23699999999999999</v>
      </c>
      <c r="K47" s="36">
        <f t="shared" si="7"/>
        <v>237</v>
      </c>
    </row>
    <row r="48" spans="1:11" x14ac:dyDescent="0.2">
      <c r="A48" s="38">
        <v>2005</v>
      </c>
      <c r="B48" s="38" t="s">
        <v>186</v>
      </c>
      <c r="C48" s="38" t="s">
        <v>44</v>
      </c>
      <c r="D48" s="38" t="s">
        <v>256</v>
      </c>
      <c r="E48" s="38">
        <v>37</v>
      </c>
      <c r="F48" s="38"/>
      <c r="G48" s="38">
        <v>7.4</v>
      </c>
      <c r="H48" s="36">
        <f t="shared" si="6"/>
        <v>7.4</v>
      </c>
      <c r="J48" s="36">
        <v>3.6999999999999998E-2</v>
      </c>
      <c r="K48" s="36">
        <f t="shared" si="7"/>
        <v>37</v>
      </c>
    </row>
    <row r="49" spans="1:11" x14ac:dyDescent="0.2">
      <c r="A49" s="39">
        <v>2005</v>
      </c>
      <c r="B49" s="39" t="s">
        <v>186</v>
      </c>
      <c r="C49" s="39" t="s">
        <v>44</v>
      </c>
      <c r="D49" s="39" t="s">
        <v>257</v>
      </c>
      <c r="E49" s="39">
        <v>3</v>
      </c>
      <c r="F49" s="39"/>
      <c r="G49" s="39">
        <v>0.60000000000000009</v>
      </c>
      <c r="H49" s="36">
        <f t="shared" si="6"/>
        <v>0.60000000000000009</v>
      </c>
      <c r="J49" s="36">
        <v>3.0000000000000001E-3</v>
      </c>
      <c r="K49" s="36">
        <f t="shared" si="7"/>
        <v>3</v>
      </c>
    </row>
    <row r="50" spans="1:11" x14ac:dyDescent="0.2">
      <c r="A50" s="38"/>
      <c r="B50" s="38"/>
      <c r="C50" s="38"/>
      <c r="D50" s="38"/>
      <c r="E50" s="38"/>
      <c r="F50" s="38"/>
      <c r="G50" s="38"/>
      <c r="K50" s="36">
        <f>SUM(K30:K49)</f>
        <v>489231</v>
      </c>
    </row>
    <row r="51" spans="1:11" x14ac:dyDescent="0.2">
      <c r="A51" s="39">
        <v>2010</v>
      </c>
      <c r="B51" s="39" t="s">
        <v>186</v>
      </c>
      <c r="C51" s="39" t="s">
        <v>44</v>
      </c>
      <c r="D51" s="39" t="s">
        <v>187</v>
      </c>
      <c r="E51" s="39">
        <v>76618</v>
      </c>
      <c r="F51" s="39"/>
      <c r="G51" s="39">
        <v>15323.6</v>
      </c>
      <c r="H51" s="36">
        <f>0.2*E51</f>
        <v>15323.6</v>
      </c>
      <c r="J51" s="36">
        <v>76.617999999999995</v>
      </c>
      <c r="K51" s="36">
        <f>1000*J51</f>
        <v>76618</v>
      </c>
    </row>
    <row r="52" spans="1:11" x14ac:dyDescent="0.2">
      <c r="A52" s="38">
        <v>2010</v>
      </c>
      <c r="B52" s="38" t="s">
        <v>186</v>
      </c>
      <c r="C52" s="38" t="s">
        <v>44</v>
      </c>
      <c r="D52" s="38" t="s">
        <v>188</v>
      </c>
      <c r="E52" s="38">
        <v>69596</v>
      </c>
      <c r="F52" s="38"/>
      <c r="G52" s="38">
        <v>13919.2</v>
      </c>
      <c r="H52" s="36">
        <f t="shared" ref="H52:H70" si="8">0.2*E52</f>
        <v>13919.2</v>
      </c>
      <c r="J52" s="36">
        <v>69.596000000000004</v>
      </c>
      <c r="K52" s="36">
        <f t="shared" ref="K52:K70" si="9">1000*J52</f>
        <v>69596</v>
      </c>
    </row>
    <row r="53" spans="1:11" x14ac:dyDescent="0.2">
      <c r="A53" s="39">
        <v>2010</v>
      </c>
      <c r="B53" s="39" t="s">
        <v>186</v>
      </c>
      <c r="C53" s="39" t="s">
        <v>44</v>
      </c>
      <c r="D53" s="39" t="s">
        <v>189</v>
      </c>
      <c r="E53" s="39">
        <v>68241</v>
      </c>
      <c r="F53" s="39"/>
      <c r="G53" s="39">
        <v>13648.2</v>
      </c>
      <c r="H53" s="36">
        <f t="shared" si="8"/>
        <v>13648.2</v>
      </c>
      <c r="J53" s="36">
        <v>68.241</v>
      </c>
      <c r="K53" s="36">
        <f t="shared" si="9"/>
        <v>68241</v>
      </c>
    </row>
    <row r="54" spans="1:11" x14ac:dyDescent="0.2">
      <c r="A54" s="38">
        <v>2010</v>
      </c>
      <c r="B54" s="38" t="s">
        <v>186</v>
      </c>
      <c r="C54" s="38" t="s">
        <v>44</v>
      </c>
      <c r="D54" s="38" t="s">
        <v>176</v>
      </c>
      <c r="E54" s="38">
        <v>62653</v>
      </c>
      <c r="F54" s="38"/>
      <c r="G54" s="38">
        <v>12530.6</v>
      </c>
      <c r="H54" s="36">
        <f t="shared" si="8"/>
        <v>12530.6</v>
      </c>
      <c r="J54" s="36">
        <v>62.652999999999999</v>
      </c>
      <c r="K54" s="36">
        <f t="shared" si="9"/>
        <v>62653</v>
      </c>
    </row>
    <row r="55" spans="1:11" x14ac:dyDescent="0.2">
      <c r="A55" s="39">
        <v>2010</v>
      </c>
      <c r="B55" s="39" t="s">
        <v>186</v>
      </c>
      <c r="C55" s="39" t="s">
        <v>44</v>
      </c>
      <c r="D55" s="39" t="s">
        <v>177</v>
      </c>
      <c r="E55" s="39">
        <v>45185</v>
      </c>
      <c r="F55" s="39"/>
      <c r="G55" s="39">
        <v>9037</v>
      </c>
      <c r="H55" s="36">
        <f t="shared" si="8"/>
        <v>9037</v>
      </c>
      <c r="J55" s="36">
        <v>45.185000000000002</v>
      </c>
      <c r="K55" s="36">
        <f t="shared" si="9"/>
        <v>45185</v>
      </c>
    </row>
    <row r="56" spans="1:11" x14ac:dyDescent="0.2">
      <c r="A56" s="38">
        <v>2010</v>
      </c>
      <c r="B56" s="38" t="s">
        <v>186</v>
      </c>
      <c r="C56" s="38" t="s">
        <v>44</v>
      </c>
      <c r="D56" s="38" t="s">
        <v>178</v>
      </c>
      <c r="E56" s="38">
        <v>38325</v>
      </c>
      <c r="F56" s="38"/>
      <c r="G56" s="38">
        <v>7665</v>
      </c>
      <c r="H56" s="36">
        <f t="shared" si="8"/>
        <v>7665</v>
      </c>
      <c r="J56" s="36">
        <v>38.325000000000003</v>
      </c>
      <c r="K56" s="36">
        <f t="shared" si="9"/>
        <v>38325</v>
      </c>
    </row>
    <row r="57" spans="1:11" x14ac:dyDescent="0.2">
      <c r="A57" s="39">
        <v>2010</v>
      </c>
      <c r="B57" s="39" t="s">
        <v>186</v>
      </c>
      <c r="C57" s="39" t="s">
        <v>44</v>
      </c>
      <c r="D57" s="39" t="s">
        <v>179</v>
      </c>
      <c r="E57" s="39">
        <v>29936</v>
      </c>
      <c r="F57" s="39"/>
      <c r="G57" s="39">
        <v>5987.2000000000007</v>
      </c>
      <c r="H57" s="36">
        <f t="shared" si="8"/>
        <v>5987.2000000000007</v>
      </c>
      <c r="J57" s="36">
        <v>29.936</v>
      </c>
      <c r="K57" s="36">
        <f t="shared" si="9"/>
        <v>29936</v>
      </c>
    </row>
    <row r="58" spans="1:11" x14ac:dyDescent="0.2">
      <c r="A58" s="38">
        <v>2010</v>
      </c>
      <c r="B58" s="38" t="s">
        <v>186</v>
      </c>
      <c r="C58" s="38" t="s">
        <v>44</v>
      </c>
      <c r="D58" s="38" t="s">
        <v>180</v>
      </c>
      <c r="E58" s="38">
        <v>26130</v>
      </c>
      <c r="F58" s="38"/>
      <c r="G58" s="38">
        <v>5226</v>
      </c>
      <c r="H58" s="36">
        <f t="shared" si="8"/>
        <v>5226</v>
      </c>
      <c r="J58" s="36">
        <v>26.13</v>
      </c>
      <c r="K58" s="36">
        <f t="shared" si="9"/>
        <v>26130</v>
      </c>
    </row>
    <row r="59" spans="1:11" x14ac:dyDescent="0.2">
      <c r="A59" s="39">
        <v>2010</v>
      </c>
      <c r="B59" s="39" t="s">
        <v>186</v>
      </c>
      <c r="C59" s="39" t="s">
        <v>44</v>
      </c>
      <c r="D59" s="39" t="s">
        <v>181</v>
      </c>
      <c r="E59" s="39">
        <v>20788</v>
      </c>
      <c r="F59" s="39"/>
      <c r="G59" s="39">
        <v>4157.6000000000004</v>
      </c>
      <c r="H59" s="36">
        <f t="shared" si="8"/>
        <v>4157.6000000000004</v>
      </c>
      <c r="J59" s="36">
        <v>20.788</v>
      </c>
      <c r="K59" s="36">
        <f t="shared" si="9"/>
        <v>20788</v>
      </c>
    </row>
    <row r="60" spans="1:11" x14ac:dyDescent="0.2">
      <c r="A60" s="38">
        <v>2010</v>
      </c>
      <c r="B60" s="38" t="s">
        <v>186</v>
      </c>
      <c r="C60" s="38" t="s">
        <v>44</v>
      </c>
      <c r="D60" s="38" t="s">
        <v>182</v>
      </c>
      <c r="E60" s="38">
        <v>15939</v>
      </c>
      <c r="F60" s="38"/>
      <c r="G60" s="38">
        <v>3187.8</v>
      </c>
      <c r="H60" s="36">
        <f t="shared" si="8"/>
        <v>3187.8</v>
      </c>
      <c r="J60" s="36">
        <v>15.939</v>
      </c>
      <c r="K60" s="36">
        <f t="shared" si="9"/>
        <v>15939</v>
      </c>
    </row>
    <row r="61" spans="1:11" x14ac:dyDescent="0.2">
      <c r="A61" s="39">
        <v>2010</v>
      </c>
      <c r="B61" s="39" t="s">
        <v>186</v>
      </c>
      <c r="C61" s="39" t="s">
        <v>44</v>
      </c>
      <c r="D61" s="39" t="s">
        <v>183</v>
      </c>
      <c r="E61" s="39">
        <v>14107</v>
      </c>
      <c r="F61" s="39"/>
      <c r="G61" s="39">
        <v>2821.4</v>
      </c>
      <c r="H61" s="36">
        <f t="shared" si="8"/>
        <v>2821.4</v>
      </c>
      <c r="J61" s="36">
        <v>14.106999999999999</v>
      </c>
      <c r="K61" s="36">
        <f t="shared" si="9"/>
        <v>14107</v>
      </c>
    </row>
    <row r="62" spans="1:11" x14ac:dyDescent="0.2">
      <c r="A62" s="38">
        <v>2010</v>
      </c>
      <c r="B62" s="38" t="s">
        <v>186</v>
      </c>
      <c r="C62" s="38" t="s">
        <v>44</v>
      </c>
      <c r="D62" s="38" t="s">
        <v>184</v>
      </c>
      <c r="E62" s="38">
        <v>11477</v>
      </c>
      <c r="F62" s="38"/>
      <c r="G62" s="38">
        <v>2295.4</v>
      </c>
      <c r="H62" s="36">
        <f t="shared" si="8"/>
        <v>2295.4</v>
      </c>
      <c r="J62" s="36">
        <v>11.477</v>
      </c>
      <c r="K62" s="36">
        <f t="shared" si="9"/>
        <v>11477</v>
      </c>
    </row>
    <row r="63" spans="1:11" x14ac:dyDescent="0.2">
      <c r="A63" s="39">
        <v>2010</v>
      </c>
      <c r="B63" s="39" t="s">
        <v>186</v>
      </c>
      <c r="C63" s="39" t="s">
        <v>44</v>
      </c>
      <c r="D63" s="39" t="s">
        <v>185</v>
      </c>
      <c r="E63" s="39">
        <v>9162</v>
      </c>
      <c r="F63" s="39"/>
      <c r="G63" s="39">
        <v>1832.4</v>
      </c>
      <c r="H63" s="36">
        <f t="shared" si="8"/>
        <v>1832.4</v>
      </c>
      <c r="J63" s="36">
        <v>9.1620000000000008</v>
      </c>
      <c r="K63" s="36">
        <f t="shared" si="9"/>
        <v>9162</v>
      </c>
    </row>
    <row r="64" spans="1:11" x14ac:dyDescent="0.2">
      <c r="A64" s="38">
        <v>2010</v>
      </c>
      <c r="B64" s="38" t="s">
        <v>186</v>
      </c>
      <c r="C64" s="38" t="s">
        <v>44</v>
      </c>
      <c r="D64" s="38" t="s">
        <v>190</v>
      </c>
      <c r="E64" s="38">
        <v>6733</v>
      </c>
      <c r="F64" s="38"/>
      <c r="G64" s="38">
        <v>1346.6000000000001</v>
      </c>
      <c r="H64" s="36">
        <f t="shared" si="8"/>
        <v>1346.6000000000001</v>
      </c>
      <c r="J64" s="36">
        <v>6.7329999999999997</v>
      </c>
      <c r="K64" s="36">
        <f t="shared" si="9"/>
        <v>6733</v>
      </c>
    </row>
    <row r="65" spans="1:11" x14ac:dyDescent="0.2">
      <c r="A65" s="39">
        <v>2010</v>
      </c>
      <c r="B65" s="39" t="s">
        <v>186</v>
      </c>
      <c r="C65" s="39" t="s">
        <v>44</v>
      </c>
      <c r="D65" s="39" t="s">
        <v>191</v>
      </c>
      <c r="E65" s="39">
        <v>4098</v>
      </c>
      <c r="F65" s="39"/>
      <c r="G65" s="39">
        <v>819.6</v>
      </c>
      <c r="H65" s="36">
        <f t="shared" si="8"/>
        <v>819.6</v>
      </c>
      <c r="J65" s="36">
        <v>4.0979999999999999</v>
      </c>
      <c r="K65" s="36">
        <f t="shared" si="9"/>
        <v>4098</v>
      </c>
    </row>
    <row r="66" spans="1:11" x14ac:dyDescent="0.2">
      <c r="A66" s="38">
        <v>2010</v>
      </c>
      <c r="B66" s="38" t="s">
        <v>186</v>
      </c>
      <c r="C66" s="38" t="s">
        <v>44</v>
      </c>
      <c r="D66" s="38" t="s">
        <v>192</v>
      </c>
      <c r="E66" s="38">
        <v>2080</v>
      </c>
      <c r="F66" s="38"/>
      <c r="G66" s="38">
        <v>416</v>
      </c>
      <c r="H66" s="36">
        <f t="shared" si="8"/>
        <v>416</v>
      </c>
      <c r="J66" s="36">
        <v>2.08</v>
      </c>
      <c r="K66" s="36">
        <f t="shared" si="9"/>
        <v>2080</v>
      </c>
    </row>
    <row r="67" spans="1:11" x14ac:dyDescent="0.2">
      <c r="A67" s="39">
        <v>2010</v>
      </c>
      <c r="B67" s="39" t="s">
        <v>186</v>
      </c>
      <c r="C67" s="39" t="s">
        <v>44</v>
      </c>
      <c r="D67" s="39" t="s">
        <v>254</v>
      </c>
      <c r="E67" s="39">
        <v>846</v>
      </c>
      <c r="F67" s="39"/>
      <c r="G67" s="39">
        <v>169.20000000000002</v>
      </c>
      <c r="H67" s="36">
        <f t="shared" si="8"/>
        <v>169.20000000000002</v>
      </c>
      <c r="J67" s="36">
        <v>0.84599999999999997</v>
      </c>
      <c r="K67" s="36">
        <f t="shared" si="9"/>
        <v>846</v>
      </c>
    </row>
    <row r="68" spans="1:11" x14ac:dyDescent="0.2">
      <c r="A68" s="38">
        <v>2010</v>
      </c>
      <c r="B68" s="38" t="s">
        <v>186</v>
      </c>
      <c r="C68" s="38" t="s">
        <v>44</v>
      </c>
      <c r="D68" s="38" t="s">
        <v>255</v>
      </c>
      <c r="E68" s="38">
        <v>231</v>
      </c>
      <c r="F68" s="38"/>
      <c r="G68" s="38">
        <v>46.2</v>
      </c>
      <c r="H68" s="36">
        <f t="shared" si="8"/>
        <v>46.2</v>
      </c>
      <c r="J68" s="36">
        <v>0.23100000000000001</v>
      </c>
      <c r="K68" s="36">
        <f t="shared" si="9"/>
        <v>231</v>
      </c>
    </row>
    <row r="69" spans="1:11" x14ac:dyDescent="0.2">
      <c r="A69" s="39">
        <v>2010</v>
      </c>
      <c r="B69" s="39" t="s">
        <v>186</v>
      </c>
      <c r="C69" s="39" t="s">
        <v>44</v>
      </c>
      <c r="D69" s="39" t="s">
        <v>256</v>
      </c>
      <c r="E69" s="39">
        <v>37</v>
      </c>
      <c r="F69" s="39"/>
      <c r="G69" s="39">
        <v>7.4</v>
      </c>
      <c r="H69" s="36">
        <f t="shared" si="8"/>
        <v>7.4</v>
      </c>
      <c r="J69" s="36">
        <v>3.6999999999999998E-2</v>
      </c>
      <c r="K69" s="36">
        <f t="shared" si="9"/>
        <v>37</v>
      </c>
    </row>
    <row r="70" spans="1:11" x14ac:dyDescent="0.2">
      <c r="A70" s="38">
        <v>2010</v>
      </c>
      <c r="B70" s="38" t="s">
        <v>186</v>
      </c>
      <c r="C70" s="38" t="s">
        <v>44</v>
      </c>
      <c r="D70" s="38" t="s">
        <v>257</v>
      </c>
      <c r="E70" s="38">
        <v>4</v>
      </c>
      <c r="F70" s="38"/>
      <c r="G70" s="38">
        <v>0.8</v>
      </c>
      <c r="H70" s="36">
        <f t="shared" si="8"/>
        <v>0.8</v>
      </c>
      <c r="J70" s="36">
        <v>4.0000000000000001E-3</v>
      </c>
      <c r="K70" s="36">
        <f t="shared" si="9"/>
        <v>4</v>
      </c>
    </row>
    <row r="71" spans="1:11" x14ac:dyDescent="0.2">
      <c r="A71" s="39"/>
      <c r="B71" s="39"/>
      <c r="C71" s="39"/>
      <c r="D71" s="39"/>
      <c r="E71" s="39"/>
      <c r="F71" s="39"/>
      <c r="G71" s="39"/>
      <c r="K71" s="36">
        <f>SUM(K51:K70)</f>
        <v>502186</v>
      </c>
    </row>
    <row r="72" spans="1:11" x14ac:dyDescent="0.2">
      <c r="A72" s="38">
        <v>2015</v>
      </c>
      <c r="B72" s="38" t="s">
        <v>186</v>
      </c>
      <c r="C72" s="38" t="s">
        <v>44</v>
      </c>
      <c r="D72" s="38" t="s">
        <v>187</v>
      </c>
      <c r="E72" s="38">
        <v>73240</v>
      </c>
      <c r="F72" s="38"/>
      <c r="G72" s="38">
        <v>14648</v>
      </c>
      <c r="H72" s="36">
        <f t="shared" ref="H72:H91" si="10">0.2*E72</f>
        <v>14648</v>
      </c>
      <c r="J72" s="36">
        <v>73.239999999999995</v>
      </c>
      <c r="K72" s="36">
        <f>1000*J72</f>
        <v>73240</v>
      </c>
    </row>
    <row r="73" spans="1:11" x14ac:dyDescent="0.2">
      <c r="A73" s="39">
        <v>2015</v>
      </c>
      <c r="B73" s="39" t="s">
        <v>186</v>
      </c>
      <c r="C73" s="39" t="s">
        <v>44</v>
      </c>
      <c r="D73" s="39" t="s">
        <v>188</v>
      </c>
      <c r="E73" s="39">
        <v>74831</v>
      </c>
      <c r="F73" s="39"/>
      <c r="G73" s="39">
        <v>14966.2</v>
      </c>
      <c r="H73" s="36">
        <f t="shared" si="10"/>
        <v>14966.2</v>
      </c>
      <c r="J73" s="36">
        <v>74.831000000000003</v>
      </c>
      <c r="K73" s="36">
        <f t="shared" ref="K73:K91" si="11">1000*J73</f>
        <v>74831</v>
      </c>
    </row>
    <row r="74" spans="1:11" x14ac:dyDescent="0.2">
      <c r="A74" s="38">
        <v>2015</v>
      </c>
      <c r="B74" s="38" t="s">
        <v>186</v>
      </c>
      <c r="C74" s="38" t="s">
        <v>44</v>
      </c>
      <c r="D74" s="38" t="s">
        <v>189</v>
      </c>
      <c r="E74" s="38">
        <v>68702</v>
      </c>
      <c r="F74" s="38"/>
      <c r="G74" s="38">
        <v>13740.400000000001</v>
      </c>
      <c r="H74" s="36">
        <f t="shared" si="10"/>
        <v>13740.400000000001</v>
      </c>
      <c r="J74" s="36">
        <v>68.701999999999998</v>
      </c>
      <c r="K74" s="36">
        <f t="shared" si="11"/>
        <v>68702</v>
      </c>
    </row>
    <row r="75" spans="1:11" x14ac:dyDescent="0.2">
      <c r="A75" s="39">
        <v>2015</v>
      </c>
      <c r="B75" s="39" t="s">
        <v>186</v>
      </c>
      <c r="C75" s="39" t="s">
        <v>44</v>
      </c>
      <c r="D75" s="39" t="s">
        <v>176</v>
      </c>
      <c r="E75" s="39">
        <v>64733.000000000007</v>
      </c>
      <c r="F75" s="39"/>
      <c r="G75" s="39">
        <v>12946.600000000002</v>
      </c>
      <c r="H75" s="36">
        <f t="shared" si="10"/>
        <v>12946.600000000002</v>
      </c>
      <c r="J75" s="36">
        <v>64.733000000000004</v>
      </c>
      <c r="K75" s="36">
        <f t="shared" si="11"/>
        <v>64733.000000000007</v>
      </c>
    </row>
    <row r="76" spans="1:11" x14ac:dyDescent="0.2">
      <c r="A76" s="38">
        <v>2015</v>
      </c>
      <c r="B76" s="38" t="s">
        <v>186</v>
      </c>
      <c r="C76" s="38" t="s">
        <v>44</v>
      </c>
      <c r="D76" s="38" t="s">
        <v>177</v>
      </c>
      <c r="E76" s="38">
        <v>56504</v>
      </c>
      <c r="F76" s="38"/>
      <c r="G76" s="38">
        <v>11300.800000000001</v>
      </c>
      <c r="H76" s="36">
        <f t="shared" si="10"/>
        <v>11300.800000000001</v>
      </c>
      <c r="J76" s="36">
        <v>56.503999999999998</v>
      </c>
      <c r="K76" s="36">
        <f t="shared" si="11"/>
        <v>56504</v>
      </c>
    </row>
    <row r="77" spans="1:11" x14ac:dyDescent="0.2">
      <c r="A77" s="39">
        <v>2015</v>
      </c>
      <c r="B77" s="39" t="s">
        <v>186</v>
      </c>
      <c r="C77" s="39" t="s">
        <v>44</v>
      </c>
      <c r="D77" s="39" t="s">
        <v>178</v>
      </c>
      <c r="E77" s="39">
        <v>40277</v>
      </c>
      <c r="F77" s="39"/>
      <c r="G77" s="39">
        <v>8055.4000000000005</v>
      </c>
      <c r="H77" s="36">
        <f t="shared" si="10"/>
        <v>8055.4000000000005</v>
      </c>
      <c r="J77" s="36">
        <v>40.277000000000001</v>
      </c>
      <c r="K77" s="36">
        <f t="shared" si="11"/>
        <v>40277</v>
      </c>
    </row>
    <row r="78" spans="1:11" x14ac:dyDescent="0.2">
      <c r="A78" s="38">
        <v>2015</v>
      </c>
      <c r="B78" s="38" t="s">
        <v>186</v>
      </c>
      <c r="C78" s="38" t="s">
        <v>44</v>
      </c>
      <c r="D78" s="38" t="s">
        <v>179</v>
      </c>
      <c r="E78" s="38">
        <v>35332</v>
      </c>
      <c r="F78" s="38"/>
      <c r="G78" s="38">
        <v>7066.4000000000005</v>
      </c>
      <c r="H78" s="36">
        <f t="shared" si="10"/>
        <v>7066.4000000000005</v>
      </c>
      <c r="J78" s="36">
        <v>35.332000000000001</v>
      </c>
      <c r="K78" s="36">
        <f t="shared" si="11"/>
        <v>35332</v>
      </c>
    </row>
    <row r="79" spans="1:11" x14ac:dyDescent="0.2">
      <c r="A79" s="39">
        <v>2015</v>
      </c>
      <c r="B79" s="39" t="s">
        <v>186</v>
      </c>
      <c r="C79" s="39" t="s">
        <v>44</v>
      </c>
      <c r="D79" s="39" t="s">
        <v>180</v>
      </c>
      <c r="E79" s="39">
        <v>27518</v>
      </c>
      <c r="F79" s="39"/>
      <c r="G79" s="39">
        <v>5503.6</v>
      </c>
      <c r="H79" s="36">
        <f t="shared" si="10"/>
        <v>5503.6</v>
      </c>
      <c r="J79" s="36">
        <v>27.518000000000001</v>
      </c>
      <c r="K79" s="36">
        <f t="shared" si="11"/>
        <v>27518</v>
      </c>
    </row>
    <row r="80" spans="1:11" x14ac:dyDescent="0.2">
      <c r="A80" s="38">
        <v>2015</v>
      </c>
      <c r="B80" s="38" t="s">
        <v>186</v>
      </c>
      <c r="C80" s="38" t="s">
        <v>44</v>
      </c>
      <c r="D80" s="38" t="s">
        <v>181</v>
      </c>
      <c r="E80" s="38">
        <v>23148</v>
      </c>
      <c r="F80" s="38"/>
      <c r="G80" s="38">
        <v>4629.6000000000004</v>
      </c>
      <c r="H80" s="36">
        <f t="shared" si="10"/>
        <v>4629.6000000000004</v>
      </c>
      <c r="J80" s="36">
        <v>23.148</v>
      </c>
      <c r="K80" s="36">
        <f t="shared" si="11"/>
        <v>23148</v>
      </c>
    </row>
    <row r="81" spans="1:13" x14ac:dyDescent="0.2">
      <c r="A81" s="39">
        <v>2015</v>
      </c>
      <c r="B81" s="39" t="s">
        <v>186</v>
      </c>
      <c r="C81" s="39" t="s">
        <v>44</v>
      </c>
      <c r="D81" s="39" t="s">
        <v>182</v>
      </c>
      <c r="E81" s="39">
        <v>18077</v>
      </c>
      <c r="F81" s="39"/>
      <c r="G81" s="39">
        <v>3615.4</v>
      </c>
      <c r="H81" s="36">
        <f t="shared" si="10"/>
        <v>3615.4</v>
      </c>
      <c r="J81" s="36">
        <v>18.077000000000002</v>
      </c>
      <c r="K81" s="36">
        <f t="shared" si="11"/>
        <v>18077</v>
      </c>
    </row>
    <row r="82" spans="1:13" x14ac:dyDescent="0.2">
      <c r="A82" s="38">
        <v>2015</v>
      </c>
      <c r="B82" s="38" t="s">
        <v>186</v>
      </c>
      <c r="C82" s="38" t="s">
        <v>44</v>
      </c>
      <c r="D82" s="38" t="s">
        <v>183</v>
      </c>
      <c r="E82" s="38">
        <v>13640</v>
      </c>
      <c r="F82" s="38"/>
      <c r="G82" s="38">
        <v>2728</v>
      </c>
      <c r="H82" s="36">
        <f t="shared" si="10"/>
        <v>2728</v>
      </c>
      <c r="J82" s="36">
        <v>13.64</v>
      </c>
      <c r="K82" s="36">
        <f t="shared" si="11"/>
        <v>13640</v>
      </c>
    </row>
    <row r="83" spans="1:13" x14ac:dyDescent="0.2">
      <c r="A83" s="39">
        <v>2015</v>
      </c>
      <c r="B83" s="39" t="s">
        <v>186</v>
      </c>
      <c r="C83" s="39" t="s">
        <v>44</v>
      </c>
      <c r="D83" s="39" t="s">
        <v>184</v>
      </c>
      <c r="E83" s="39">
        <v>11713</v>
      </c>
      <c r="F83" s="39"/>
      <c r="G83" s="39">
        <v>2342.6</v>
      </c>
      <c r="H83" s="36">
        <f t="shared" si="10"/>
        <v>2342.6</v>
      </c>
      <c r="J83" s="36">
        <v>11.712999999999999</v>
      </c>
      <c r="K83" s="36">
        <f t="shared" si="11"/>
        <v>11713</v>
      </c>
    </row>
    <row r="84" spans="1:13" x14ac:dyDescent="0.2">
      <c r="A84" s="38">
        <v>2015</v>
      </c>
      <c r="B84" s="38" t="s">
        <v>186</v>
      </c>
      <c r="C84" s="38" t="s">
        <v>44</v>
      </c>
      <c r="D84" s="38" t="s">
        <v>185</v>
      </c>
      <c r="E84" s="38">
        <v>9185</v>
      </c>
      <c r="F84" s="38"/>
      <c r="G84" s="38">
        <v>1837</v>
      </c>
      <c r="H84" s="36">
        <f t="shared" si="10"/>
        <v>1837</v>
      </c>
      <c r="J84" s="36">
        <v>9.1850000000000005</v>
      </c>
      <c r="K84" s="36">
        <f t="shared" si="11"/>
        <v>9185</v>
      </c>
    </row>
    <row r="85" spans="1:13" x14ac:dyDescent="0.2">
      <c r="A85" s="39">
        <v>2015</v>
      </c>
      <c r="B85" s="39" t="s">
        <v>186</v>
      </c>
      <c r="C85" s="39" t="s">
        <v>44</v>
      </c>
      <c r="D85" s="39" t="s">
        <v>190</v>
      </c>
      <c r="E85" s="39">
        <v>6986</v>
      </c>
      <c r="F85" s="39"/>
      <c r="G85" s="39">
        <v>1397.2</v>
      </c>
      <c r="H85" s="36">
        <f t="shared" si="10"/>
        <v>1397.2</v>
      </c>
      <c r="J85" s="36">
        <v>6.9859999999999998</v>
      </c>
      <c r="K85" s="36">
        <f t="shared" si="11"/>
        <v>6986</v>
      </c>
    </row>
    <row r="86" spans="1:13" x14ac:dyDescent="0.2">
      <c r="A86" s="38">
        <v>2015</v>
      </c>
      <c r="B86" s="38" t="s">
        <v>186</v>
      </c>
      <c r="C86" s="38" t="s">
        <v>44</v>
      </c>
      <c r="D86" s="38" t="s">
        <v>191</v>
      </c>
      <c r="E86" s="38">
        <v>4647</v>
      </c>
      <c r="F86" s="38"/>
      <c r="G86" s="38">
        <v>929.40000000000009</v>
      </c>
      <c r="H86" s="36">
        <f t="shared" si="10"/>
        <v>929.40000000000009</v>
      </c>
      <c r="J86" s="36">
        <v>4.6470000000000002</v>
      </c>
      <c r="K86" s="36">
        <f t="shared" si="11"/>
        <v>4647</v>
      </c>
    </row>
    <row r="87" spans="1:13" x14ac:dyDescent="0.2">
      <c r="A87" s="39">
        <v>2015</v>
      </c>
      <c r="B87" s="39" t="s">
        <v>186</v>
      </c>
      <c r="C87" s="39" t="s">
        <v>44</v>
      </c>
      <c r="D87" s="39" t="s">
        <v>192</v>
      </c>
      <c r="E87" s="39">
        <v>2426</v>
      </c>
      <c r="F87" s="39"/>
      <c r="G87" s="39">
        <v>485.20000000000005</v>
      </c>
      <c r="H87" s="36">
        <f t="shared" si="10"/>
        <v>485.20000000000005</v>
      </c>
      <c r="J87" s="36">
        <v>2.4260000000000002</v>
      </c>
      <c r="K87" s="36">
        <f t="shared" si="11"/>
        <v>2426</v>
      </c>
    </row>
    <row r="88" spans="1:13" x14ac:dyDescent="0.2">
      <c r="A88" s="38">
        <v>2015</v>
      </c>
      <c r="B88" s="38" t="s">
        <v>186</v>
      </c>
      <c r="C88" s="38" t="s">
        <v>44</v>
      </c>
      <c r="D88" s="38" t="s">
        <v>254</v>
      </c>
      <c r="E88" s="38">
        <v>966</v>
      </c>
      <c r="F88" s="38"/>
      <c r="G88" s="38">
        <v>193.20000000000002</v>
      </c>
      <c r="H88" s="36">
        <f t="shared" si="10"/>
        <v>193.20000000000002</v>
      </c>
      <c r="J88" s="36">
        <v>0.96599999999999997</v>
      </c>
      <c r="K88" s="36">
        <f t="shared" si="11"/>
        <v>966</v>
      </c>
    </row>
    <row r="89" spans="1:13" x14ac:dyDescent="0.2">
      <c r="A89" s="39">
        <v>2015</v>
      </c>
      <c r="B89" s="39" t="s">
        <v>186</v>
      </c>
      <c r="C89" s="39" t="s">
        <v>44</v>
      </c>
      <c r="D89" s="39" t="s">
        <v>255</v>
      </c>
      <c r="E89" s="39">
        <v>260</v>
      </c>
      <c r="F89" s="39"/>
      <c r="G89" s="39">
        <v>52</v>
      </c>
      <c r="H89" s="36">
        <f t="shared" si="10"/>
        <v>52</v>
      </c>
      <c r="J89" s="36">
        <v>0.26</v>
      </c>
      <c r="K89" s="36">
        <f t="shared" si="11"/>
        <v>260</v>
      </c>
    </row>
    <row r="90" spans="1:13" x14ac:dyDescent="0.2">
      <c r="A90" s="38">
        <v>2015</v>
      </c>
      <c r="B90" s="38" t="s">
        <v>186</v>
      </c>
      <c r="C90" s="38" t="s">
        <v>44</v>
      </c>
      <c r="D90" s="38" t="s">
        <v>256</v>
      </c>
      <c r="E90" s="38">
        <v>41</v>
      </c>
      <c r="F90" s="38"/>
      <c r="G90" s="38">
        <v>8.2000000000000011</v>
      </c>
      <c r="H90" s="36">
        <f t="shared" si="10"/>
        <v>8.2000000000000011</v>
      </c>
      <c r="J90" s="36">
        <v>4.1000000000000002E-2</v>
      </c>
      <c r="K90" s="36">
        <f t="shared" si="11"/>
        <v>41</v>
      </c>
    </row>
    <row r="91" spans="1:13" x14ac:dyDescent="0.2">
      <c r="A91" s="39">
        <v>2015</v>
      </c>
      <c r="B91" s="39" t="s">
        <v>186</v>
      </c>
      <c r="C91" s="39" t="s">
        <v>44</v>
      </c>
      <c r="D91" s="39" t="s">
        <v>257</v>
      </c>
      <c r="E91" s="39">
        <v>4</v>
      </c>
      <c r="F91" s="39"/>
      <c r="G91" s="39">
        <v>0.8</v>
      </c>
      <c r="H91" s="36">
        <f t="shared" si="10"/>
        <v>0.8</v>
      </c>
      <c r="J91" s="36">
        <v>4.0000000000000001E-3</v>
      </c>
      <c r="K91" s="36">
        <f t="shared" si="11"/>
        <v>4</v>
      </c>
    </row>
    <row r="92" spans="1:13" x14ac:dyDescent="0.2">
      <c r="A92" s="38"/>
      <c r="B92" s="38"/>
      <c r="C92" s="38"/>
      <c r="D92" s="38"/>
      <c r="E92" s="38"/>
      <c r="F92" s="38"/>
      <c r="G92" s="38"/>
      <c r="K92" s="36">
        <f>SUM(K72:K91)</f>
        <v>532230</v>
      </c>
      <c r="L92" s="36">
        <v>571803</v>
      </c>
      <c r="M92" s="36">
        <f>K92+L92</f>
        <v>1104033</v>
      </c>
    </row>
    <row r="93" spans="1:13" x14ac:dyDescent="0.2">
      <c r="A93" s="39">
        <v>2020</v>
      </c>
      <c r="B93" s="39" t="s">
        <v>186</v>
      </c>
      <c r="C93" s="39" t="s">
        <v>44</v>
      </c>
      <c r="D93" s="39" t="s">
        <v>187</v>
      </c>
      <c r="E93" s="39">
        <v>72522</v>
      </c>
      <c r="F93" s="39"/>
      <c r="G93" s="39">
        <v>14504.400000000001</v>
      </c>
      <c r="H93" s="36">
        <f>0.2*E93</f>
        <v>14504.400000000001</v>
      </c>
      <c r="J93" s="36">
        <v>72.522000000000006</v>
      </c>
      <c r="K93" s="36">
        <f>1000*J93</f>
        <v>72522</v>
      </c>
    </row>
    <row r="94" spans="1:13" x14ac:dyDescent="0.2">
      <c r="A94" s="38">
        <v>2020</v>
      </c>
      <c r="B94" s="38" t="s">
        <v>186</v>
      </c>
      <c r="C94" s="38" t="s">
        <v>44</v>
      </c>
      <c r="D94" s="38" t="s">
        <v>188</v>
      </c>
      <c r="E94" s="38">
        <v>71959</v>
      </c>
      <c r="F94" s="38"/>
      <c r="G94" s="38">
        <v>14391.800000000001</v>
      </c>
      <c r="H94" s="36">
        <f t="shared" ref="H94:H112" si="12">0.2*E94</f>
        <v>14391.800000000001</v>
      </c>
      <c r="J94" s="36">
        <v>71.959000000000003</v>
      </c>
      <c r="K94" s="36">
        <f t="shared" ref="K94:K112" si="13">1000*J94</f>
        <v>71959</v>
      </c>
    </row>
    <row r="95" spans="1:13" x14ac:dyDescent="0.2">
      <c r="A95" s="39">
        <v>2020</v>
      </c>
      <c r="B95" s="39" t="s">
        <v>186</v>
      </c>
      <c r="C95" s="39" t="s">
        <v>44</v>
      </c>
      <c r="D95" s="39" t="s">
        <v>189</v>
      </c>
      <c r="E95" s="39">
        <v>74096</v>
      </c>
      <c r="F95" s="39"/>
      <c r="G95" s="39">
        <v>14819.2</v>
      </c>
      <c r="H95" s="36">
        <f t="shared" si="12"/>
        <v>14819.2</v>
      </c>
      <c r="J95" s="36">
        <v>74.096000000000004</v>
      </c>
      <c r="K95" s="36">
        <f t="shared" si="13"/>
        <v>74096</v>
      </c>
    </row>
    <row r="96" spans="1:13" x14ac:dyDescent="0.2">
      <c r="A96" s="38">
        <v>2020</v>
      </c>
      <c r="B96" s="38" t="s">
        <v>186</v>
      </c>
      <c r="C96" s="38" t="s">
        <v>44</v>
      </c>
      <c r="D96" s="38" t="s">
        <v>176</v>
      </c>
      <c r="E96" s="38">
        <v>65366</v>
      </c>
      <c r="F96" s="38"/>
      <c r="G96" s="38">
        <v>13073.2</v>
      </c>
      <c r="H96" s="36">
        <f t="shared" si="12"/>
        <v>13073.2</v>
      </c>
      <c r="J96" s="36">
        <v>65.366</v>
      </c>
      <c r="K96" s="36">
        <f t="shared" si="13"/>
        <v>65366</v>
      </c>
    </row>
    <row r="97" spans="1:11" x14ac:dyDescent="0.2">
      <c r="A97" s="39">
        <v>2020</v>
      </c>
      <c r="B97" s="39" t="s">
        <v>186</v>
      </c>
      <c r="C97" s="39" t="s">
        <v>44</v>
      </c>
      <c r="D97" s="39" t="s">
        <v>177</v>
      </c>
      <c r="E97" s="39">
        <v>58758</v>
      </c>
      <c r="F97" s="39"/>
      <c r="G97" s="39">
        <v>11751.6</v>
      </c>
      <c r="H97" s="36">
        <f t="shared" si="12"/>
        <v>11751.6</v>
      </c>
      <c r="J97" s="36">
        <v>58.758000000000003</v>
      </c>
      <c r="K97" s="36">
        <f t="shared" si="13"/>
        <v>58758</v>
      </c>
    </row>
    <row r="98" spans="1:11" x14ac:dyDescent="0.2">
      <c r="A98" s="38">
        <v>2020</v>
      </c>
      <c r="B98" s="38" t="s">
        <v>186</v>
      </c>
      <c r="C98" s="38" t="s">
        <v>44</v>
      </c>
      <c r="D98" s="38" t="s">
        <v>178</v>
      </c>
      <c r="E98" s="38">
        <v>51750</v>
      </c>
      <c r="F98" s="38"/>
      <c r="G98" s="38">
        <v>10350</v>
      </c>
      <c r="H98" s="36">
        <f t="shared" si="12"/>
        <v>10350</v>
      </c>
      <c r="J98" s="36">
        <v>51.75</v>
      </c>
      <c r="K98" s="36">
        <f t="shared" si="13"/>
        <v>51750</v>
      </c>
    </row>
    <row r="99" spans="1:11" x14ac:dyDescent="0.2">
      <c r="A99" s="39">
        <v>2020</v>
      </c>
      <c r="B99" s="39" t="s">
        <v>186</v>
      </c>
      <c r="C99" s="39" t="s">
        <v>44</v>
      </c>
      <c r="D99" s="39" t="s">
        <v>179</v>
      </c>
      <c r="E99" s="39">
        <v>38083</v>
      </c>
      <c r="F99" s="39"/>
      <c r="G99" s="39">
        <v>7616.6</v>
      </c>
      <c r="H99" s="36">
        <f t="shared" si="12"/>
        <v>7616.6</v>
      </c>
      <c r="J99" s="36">
        <v>38.082999999999998</v>
      </c>
      <c r="K99" s="36">
        <f t="shared" si="13"/>
        <v>38083</v>
      </c>
    </row>
    <row r="100" spans="1:11" x14ac:dyDescent="0.2">
      <c r="A100" s="38">
        <v>2020</v>
      </c>
      <c r="B100" s="38" t="s">
        <v>186</v>
      </c>
      <c r="C100" s="38" t="s">
        <v>44</v>
      </c>
      <c r="D100" s="38" t="s">
        <v>180</v>
      </c>
      <c r="E100" s="38">
        <v>34038</v>
      </c>
      <c r="F100" s="38"/>
      <c r="G100" s="38">
        <v>6807.6</v>
      </c>
      <c r="H100" s="36">
        <f t="shared" si="12"/>
        <v>6807.6</v>
      </c>
      <c r="J100" s="36">
        <v>34.037999999999997</v>
      </c>
      <c r="K100" s="36">
        <f t="shared" si="13"/>
        <v>34038</v>
      </c>
    </row>
    <row r="101" spans="1:11" x14ac:dyDescent="0.2">
      <c r="A101" s="39">
        <v>2020</v>
      </c>
      <c r="B101" s="39" t="s">
        <v>186</v>
      </c>
      <c r="C101" s="39" t="s">
        <v>44</v>
      </c>
      <c r="D101" s="39" t="s">
        <v>181</v>
      </c>
      <c r="E101" s="39">
        <v>26255</v>
      </c>
      <c r="F101" s="39"/>
      <c r="G101" s="39">
        <v>5251</v>
      </c>
      <c r="H101" s="36">
        <f t="shared" si="12"/>
        <v>5251</v>
      </c>
      <c r="J101" s="36">
        <v>26.254999999999999</v>
      </c>
      <c r="K101" s="36">
        <f t="shared" si="13"/>
        <v>26255</v>
      </c>
    </row>
    <row r="102" spans="1:11" x14ac:dyDescent="0.2">
      <c r="A102" s="38">
        <v>2020</v>
      </c>
      <c r="B102" s="38" t="s">
        <v>186</v>
      </c>
      <c r="C102" s="38" t="s">
        <v>44</v>
      </c>
      <c r="D102" s="38" t="s">
        <v>182</v>
      </c>
      <c r="E102" s="38">
        <v>21771</v>
      </c>
      <c r="F102" s="38"/>
      <c r="G102" s="38">
        <v>4354.2</v>
      </c>
      <c r="H102" s="36">
        <f t="shared" si="12"/>
        <v>4354.2</v>
      </c>
      <c r="J102" s="36">
        <v>21.771000000000001</v>
      </c>
      <c r="K102" s="36">
        <f t="shared" si="13"/>
        <v>21771</v>
      </c>
    </row>
    <row r="103" spans="1:11" x14ac:dyDescent="0.2">
      <c r="A103" s="39">
        <v>2020</v>
      </c>
      <c r="B103" s="39" t="s">
        <v>186</v>
      </c>
      <c r="C103" s="39" t="s">
        <v>44</v>
      </c>
      <c r="D103" s="39" t="s">
        <v>183</v>
      </c>
      <c r="E103" s="39">
        <v>16623</v>
      </c>
      <c r="F103" s="39"/>
      <c r="G103" s="39">
        <v>3324.6000000000004</v>
      </c>
      <c r="H103" s="36">
        <f t="shared" si="12"/>
        <v>3324.6000000000004</v>
      </c>
      <c r="J103" s="36">
        <v>16.623000000000001</v>
      </c>
      <c r="K103" s="36">
        <f t="shared" si="13"/>
        <v>16623</v>
      </c>
    </row>
    <row r="104" spans="1:11" x14ac:dyDescent="0.2">
      <c r="A104" s="38">
        <v>2020</v>
      </c>
      <c r="B104" s="38" t="s">
        <v>186</v>
      </c>
      <c r="C104" s="38" t="s">
        <v>44</v>
      </c>
      <c r="D104" s="38" t="s">
        <v>184</v>
      </c>
      <c r="E104" s="38">
        <v>12126</v>
      </c>
      <c r="F104" s="38"/>
      <c r="G104" s="38">
        <v>2425.2000000000003</v>
      </c>
      <c r="H104" s="36">
        <f t="shared" si="12"/>
        <v>2425.2000000000003</v>
      </c>
      <c r="J104" s="36">
        <v>12.125999999999999</v>
      </c>
      <c r="K104" s="36">
        <f t="shared" si="13"/>
        <v>12126</v>
      </c>
    </row>
    <row r="105" spans="1:11" x14ac:dyDescent="0.2">
      <c r="A105" s="39">
        <v>2020</v>
      </c>
      <c r="B105" s="39" t="s">
        <v>186</v>
      </c>
      <c r="C105" s="39" t="s">
        <v>44</v>
      </c>
      <c r="D105" s="39" t="s">
        <v>185</v>
      </c>
      <c r="E105" s="39">
        <v>9976</v>
      </c>
      <c r="F105" s="39"/>
      <c r="G105" s="39">
        <v>1995.2</v>
      </c>
      <c r="H105" s="36">
        <f t="shared" si="12"/>
        <v>1995.2</v>
      </c>
      <c r="J105" s="36">
        <v>9.9760000000000009</v>
      </c>
      <c r="K105" s="36">
        <f t="shared" si="13"/>
        <v>9976</v>
      </c>
    </row>
    <row r="106" spans="1:11" x14ac:dyDescent="0.2">
      <c r="A106" s="38">
        <v>2020</v>
      </c>
      <c r="B106" s="38" t="s">
        <v>186</v>
      </c>
      <c r="C106" s="38" t="s">
        <v>44</v>
      </c>
      <c r="D106" s="38" t="s">
        <v>190</v>
      </c>
      <c r="E106" s="38">
        <v>7405</v>
      </c>
      <c r="F106" s="38"/>
      <c r="G106" s="38">
        <v>1481</v>
      </c>
      <c r="H106" s="36">
        <f t="shared" si="12"/>
        <v>1481</v>
      </c>
      <c r="J106" s="36">
        <v>7.4050000000000002</v>
      </c>
      <c r="K106" s="36">
        <f t="shared" si="13"/>
        <v>7405</v>
      </c>
    </row>
    <row r="107" spans="1:11" x14ac:dyDescent="0.2">
      <c r="A107" s="39">
        <v>2020</v>
      </c>
      <c r="B107" s="39" t="s">
        <v>186</v>
      </c>
      <c r="C107" s="39" t="s">
        <v>44</v>
      </c>
      <c r="D107" s="39" t="s">
        <v>191</v>
      </c>
      <c r="E107" s="39">
        <v>5084</v>
      </c>
      <c r="F107" s="39"/>
      <c r="G107" s="39">
        <v>1016.8000000000001</v>
      </c>
      <c r="H107" s="36">
        <f t="shared" si="12"/>
        <v>1016.8000000000001</v>
      </c>
      <c r="J107" s="36">
        <v>5.0839999999999996</v>
      </c>
      <c r="K107" s="36">
        <f t="shared" si="13"/>
        <v>5084</v>
      </c>
    </row>
    <row r="108" spans="1:11" x14ac:dyDescent="0.2">
      <c r="A108" s="38">
        <v>2020</v>
      </c>
      <c r="B108" s="38" t="s">
        <v>186</v>
      </c>
      <c r="C108" s="38" t="s">
        <v>44</v>
      </c>
      <c r="D108" s="38" t="s">
        <v>192</v>
      </c>
      <c r="E108" s="38">
        <v>2889</v>
      </c>
      <c r="F108" s="38"/>
      <c r="G108" s="38">
        <v>577.80000000000007</v>
      </c>
      <c r="H108" s="36">
        <f t="shared" si="12"/>
        <v>577.80000000000007</v>
      </c>
      <c r="J108" s="36">
        <v>2.8889999999999998</v>
      </c>
      <c r="K108" s="36">
        <f t="shared" si="13"/>
        <v>2889</v>
      </c>
    </row>
    <row r="109" spans="1:11" x14ac:dyDescent="0.2">
      <c r="A109" s="39">
        <v>2020</v>
      </c>
      <c r="B109" s="39" t="s">
        <v>186</v>
      </c>
      <c r="C109" s="39" t="s">
        <v>44</v>
      </c>
      <c r="D109" s="39" t="s">
        <v>254</v>
      </c>
      <c r="E109" s="39">
        <v>1178</v>
      </c>
      <c r="F109" s="39"/>
      <c r="G109" s="39">
        <v>235.60000000000002</v>
      </c>
      <c r="H109" s="36">
        <f t="shared" si="12"/>
        <v>235.60000000000002</v>
      </c>
      <c r="J109" s="36">
        <v>1.1779999999999999</v>
      </c>
      <c r="K109" s="36">
        <f t="shared" si="13"/>
        <v>1178</v>
      </c>
    </row>
    <row r="110" spans="1:11" x14ac:dyDescent="0.2">
      <c r="A110" s="38">
        <v>2020</v>
      </c>
      <c r="B110" s="38" t="s">
        <v>186</v>
      </c>
      <c r="C110" s="38" t="s">
        <v>44</v>
      </c>
      <c r="D110" s="38" t="s">
        <v>255</v>
      </c>
      <c r="E110" s="38">
        <v>308</v>
      </c>
      <c r="F110" s="38"/>
      <c r="G110" s="38">
        <v>61.6</v>
      </c>
      <c r="H110" s="36">
        <f t="shared" si="12"/>
        <v>61.6</v>
      </c>
      <c r="J110" s="36">
        <v>0.308</v>
      </c>
      <c r="K110" s="36">
        <f t="shared" si="13"/>
        <v>308</v>
      </c>
    </row>
    <row r="111" spans="1:11" x14ac:dyDescent="0.2">
      <c r="A111" s="39">
        <v>2020</v>
      </c>
      <c r="B111" s="39" t="s">
        <v>186</v>
      </c>
      <c r="C111" s="39" t="s">
        <v>44</v>
      </c>
      <c r="D111" s="39" t="s">
        <v>256</v>
      </c>
      <c r="E111" s="39">
        <v>45</v>
      </c>
      <c r="F111" s="39"/>
      <c r="G111" s="39">
        <v>9</v>
      </c>
      <c r="H111" s="36">
        <f t="shared" si="12"/>
        <v>9</v>
      </c>
      <c r="J111" s="36">
        <v>4.4999999999999998E-2</v>
      </c>
      <c r="K111" s="36">
        <f t="shared" si="13"/>
        <v>45</v>
      </c>
    </row>
    <row r="112" spans="1:11" x14ac:dyDescent="0.2">
      <c r="A112" s="38">
        <v>2020</v>
      </c>
      <c r="B112" s="38" t="s">
        <v>186</v>
      </c>
      <c r="C112" s="38" t="s">
        <v>44</v>
      </c>
      <c r="D112" s="38" t="s">
        <v>257</v>
      </c>
      <c r="E112" s="38">
        <v>4</v>
      </c>
      <c r="F112" s="38"/>
      <c r="G112" s="38">
        <v>0.8</v>
      </c>
      <c r="H112" s="36">
        <f t="shared" si="12"/>
        <v>0.8</v>
      </c>
      <c r="J112" s="36">
        <v>4.0000000000000001E-3</v>
      </c>
      <c r="K112" s="36">
        <f t="shared" si="13"/>
        <v>4</v>
      </c>
    </row>
    <row r="113" spans="1:13" x14ac:dyDescent="0.2">
      <c r="A113" s="39"/>
      <c r="B113" s="39"/>
      <c r="C113" s="39"/>
      <c r="D113" s="39"/>
      <c r="E113" s="39"/>
      <c r="F113" s="39"/>
      <c r="G113" s="39"/>
      <c r="K113" s="36">
        <f>SUM(K93:K112)</f>
        <v>570236</v>
      </c>
      <c r="L113" s="36">
        <v>589925</v>
      </c>
      <c r="M113" s="36">
        <f>K113+L113</f>
        <v>1160161</v>
      </c>
    </row>
    <row r="114" spans="1:13" x14ac:dyDescent="0.2">
      <c r="A114" s="38">
        <v>2000</v>
      </c>
      <c r="B114" s="38" t="s">
        <v>186</v>
      </c>
      <c r="C114" s="38" t="s">
        <v>43</v>
      </c>
      <c r="D114" s="38" t="s">
        <v>187</v>
      </c>
      <c r="E114" s="38">
        <v>72668</v>
      </c>
      <c r="F114" s="38"/>
      <c r="G114" s="38">
        <v>14533.6</v>
      </c>
      <c r="H114" s="36">
        <f t="shared" ref="H114:H133" si="14">0.2*E114</f>
        <v>14533.6</v>
      </c>
      <c r="J114" s="36">
        <v>72.668000000000006</v>
      </c>
      <c r="K114" s="36">
        <f>1000*J114</f>
        <v>72668</v>
      </c>
    </row>
    <row r="115" spans="1:13" x14ac:dyDescent="0.2">
      <c r="A115" s="39">
        <v>2000</v>
      </c>
      <c r="B115" s="39" t="s">
        <v>186</v>
      </c>
      <c r="C115" s="39" t="s">
        <v>43</v>
      </c>
      <c r="D115" s="39" t="s">
        <v>188</v>
      </c>
      <c r="E115" s="39">
        <v>72712</v>
      </c>
      <c r="F115" s="39"/>
      <c r="G115" s="39">
        <v>14542.400000000001</v>
      </c>
      <c r="H115" s="36">
        <f t="shared" si="14"/>
        <v>14542.400000000001</v>
      </c>
      <c r="J115" s="36">
        <v>72.712000000000003</v>
      </c>
      <c r="K115" s="36">
        <f t="shared" ref="K115:K133" si="15">1000*J115</f>
        <v>72712</v>
      </c>
    </row>
    <row r="116" spans="1:13" x14ac:dyDescent="0.2">
      <c r="A116" s="38">
        <v>2000</v>
      </c>
      <c r="B116" s="38" t="s">
        <v>186</v>
      </c>
      <c r="C116" s="38" t="s">
        <v>43</v>
      </c>
      <c r="D116" s="38" t="s">
        <v>189</v>
      </c>
      <c r="E116" s="38">
        <v>69756</v>
      </c>
      <c r="F116" s="38"/>
      <c r="G116" s="38">
        <v>13951.2</v>
      </c>
      <c r="H116" s="36">
        <f t="shared" si="14"/>
        <v>13951.2</v>
      </c>
      <c r="J116" s="36">
        <v>69.756</v>
      </c>
      <c r="K116" s="36">
        <f t="shared" si="15"/>
        <v>69756</v>
      </c>
    </row>
    <row r="117" spans="1:13" x14ac:dyDescent="0.2">
      <c r="A117" s="39">
        <v>2000</v>
      </c>
      <c r="B117" s="39" t="s">
        <v>186</v>
      </c>
      <c r="C117" s="39" t="s">
        <v>43</v>
      </c>
      <c r="D117" s="39" t="s">
        <v>176</v>
      </c>
      <c r="E117" s="39">
        <v>65957</v>
      </c>
      <c r="F117" s="39"/>
      <c r="G117" s="39">
        <v>13191.400000000001</v>
      </c>
      <c r="H117" s="36">
        <f t="shared" si="14"/>
        <v>13191.400000000001</v>
      </c>
      <c r="J117" s="36">
        <v>65.956999999999994</v>
      </c>
      <c r="K117" s="36">
        <f t="shared" si="15"/>
        <v>65957</v>
      </c>
    </row>
    <row r="118" spans="1:13" x14ac:dyDescent="0.2">
      <c r="A118" s="38">
        <v>2000</v>
      </c>
      <c r="B118" s="38" t="s">
        <v>186</v>
      </c>
      <c r="C118" s="38" t="s">
        <v>43</v>
      </c>
      <c r="D118" s="38" t="s">
        <v>177</v>
      </c>
      <c r="E118" s="38">
        <v>50516</v>
      </c>
      <c r="F118" s="38"/>
      <c r="G118" s="38">
        <v>10103.200000000001</v>
      </c>
      <c r="H118" s="36">
        <f t="shared" si="14"/>
        <v>10103.200000000001</v>
      </c>
      <c r="J118" s="36">
        <v>50.515999999999998</v>
      </c>
      <c r="K118" s="36">
        <f t="shared" si="15"/>
        <v>50516</v>
      </c>
    </row>
    <row r="119" spans="1:13" x14ac:dyDescent="0.2">
      <c r="A119" s="39">
        <v>2000</v>
      </c>
      <c r="B119" s="39" t="s">
        <v>186</v>
      </c>
      <c r="C119" s="39" t="s">
        <v>43</v>
      </c>
      <c r="D119" s="39" t="s">
        <v>178</v>
      </c>
      <c r="E119" s="39">
        <v>38417</v>
      </c>
      <c r="F119" s="39"/>
      <c r="G119" s="39">
        <v>7683.4000000000005</v>
      </c>
      <c r="H119" s="36">
        <f t="shared" si="14"/>
        <v>7683.4000000000005</v>
      </c>
      <c r="J119" s="36">
        <v>38.417000000000002</v>
      </c>
      <c r="K119" s="36">
        <f t="shared" si="15"/>
        <v>38417</v>
      </c>
    </row>
    <row r="120" spans="1:13" x14ac:dyDescent="0.2">
      <c r="A120" s="38">
        <v>2000</v>
      </c>
      <c r="B120" s="38" t="s">
        <v>186</v>
      </c>
      <c r="C120" s="38" t="s">
        <v>43</v>
      </c>
      <c r="D120" s="38" t="s">
        <v>179</v>
      </c>
      <c r="E120" s="38">
        <v>31190</v>
      </c>
      <c r="F120" s="38"/>
      <c r="G120" s="38">
        <v>6238</v>
      </c>
      <c r="H120" s="36">
        <f t="shared" si="14"/>
        <v>6238</v>
      </c>
      <c r="J120" s="36">
        <v>31.19</v>
      </c>
      <c r="K120" s="36">
        <f t="shared" si="15"/>
        <v>31190</v>
      </c>
    </row>
    <row r="121" spans="1:13" x14ac:dyDescent="0.2">
      <c r="A121" s="39">
        <v>2000</v>
      </c>
      <c r="B121" s="39" t="s">
        <v>186</v>
      </c>
      <c r="C121" s="39" t="s">
        <v>43</v>
      </c>
      <c r="D121" s="39" t="s">
        <v>180</v>
      </c>
      <c r="E121" s="39">
        <v>27511</v>
      </c>
      <c r="F121" s="39"/>
      <c r="G121" s="39">
        <v>5502.2000000000007</v>
      </c>
      <c r="H121" s="36">
        <f t="shared" si="14"/>
        <v>5502.2000000000007</v>
      </c>
      <c r="J121" s="36">
        <v>27.510999999999999</v>
      </c>
      <c r="K121" s="36">
        <f t="shared" si="15"/>
        <v>27511</v>
      </c>
    </row>
    <row r="122" spans="1:13" x14ac:dyDescent="0.2">
      <c r="A122" s="38">
        <v>2000</v>
      </c>
      <c r="B122" s="38" t="s">
        <v>186</v>
      </c>
      <c r="C122" s="38" t="s">
        <v>43</v>
      </c>
      <c r="D122" s="38" t="s">
        <v>181</v>
      </c>
      <c r="E122" s="38">
        <v>22851</v>
      </c>
      <c r="F122" s="38"/>
      <c r="G122" s="38">
        <v>4570.2</v>
      </c>
      <c r="H122" s="36">
        <f t="shared" si="14"/>
        <v>4570.2</v>
      </c>
      <c r="J122" s="36">
        <v>22.850999999999999</v>
      </c>
      <c r="K122" s="36">
        <f t="shared" si="15"/>
        <v>22851</v>
      </c>
    </row>
    <row r="123" spans="1:13" x14ac:dyDescent="0.2">
      <c r="A123" s="39">
        <v>2000</v>
      </c>
      <c r="B123" s="39" t="s">
        <v>186</v>
      </c>
      <c r="C123" s="39" t="s">
        <v>43</v>
      </c>
      <c r="D123" s="39" t="s">
        <v>182</v>
      </c>
      <c r="E123" s="39">
        <v>18348</v>
      </c>
      <c r="F123" s="39"/>
      <c r="G123" s="39">
        <v>3669.6000000000004</v>
      </c>
      <c r="H123" s="36">
        <f t="shared" si="14"/>
        <v>3669.6000000000004</v>
      </c>
      <c r="J123" s="36">
        <v>18.347999999999999</v>
      </c>
      <c r="K123" s="36">
        <f t="shared" si="15"/>
        <v>18348</v>
      </c>
    </row>
    <row r="124" spans="1:13" x14ac:dyDescent="0.2">
      <c r="A124" s="38">
        <v>2000</v>
      </c>
      <c r="B124" s="38" t="s">
        <v>186</v>
      </c>
      <c r="C124" s="38" t="s">
        <v>43</v>
      </c>
      <c r="D124" s="38" t="s">
        <v>183</v>
      </c>
      <c r="E124" s="38">
        <v>14215</v>
      </c>
      <c r="F124" s="38"/>
      <c r="G124" s="38">
        <v>2843</v>
      </c>
      <c r="H124" s="36">
        <f t="shared" si="14"/>
        <v>2843</v>
      </c>
      <c r="J124" s="36">
        <v>14.215</v>
      </c>
      <c r="K124" s="36">
        <f t="shared" si="15"/>
        <v>14215</v>
      </c>
    </row>
    <row r="125" spans="1:13" x14ac:dyDescent="0.2">
      <c r="A125" s="39">
        <v>2000</v>
      </c>
      <c r="B125" s="39" t="s">
        <v>186</v>
      </c>
      <c r="C125" s="39" t="s">
        <v>43</v>
      </c>
      <c r="D125" s="39" t="s">
        <v>184</v>
      </c>
      <c r="E125" s="39">
        <v>11199</v>
      </c>
      <c r="F125" s="39"/>
      <c r="G125" s="39">
        <v>2239.8000000000002</v>
      </c>
      <c r="H125" s="36">
        <f t="shared" si="14"/>
        <v>2239.8000000000002</v>
      </c>
      <c r="J125" s="36">
        <v>11.199</v>
      </c>
      <c r="K125" s="36">
        <f t="shared" si="15"/>
        <v>11199</v>
      </c>
    </row>
    <row r="126" spans="1:13" x14ac:dyDescent="0.2">
      <c r="A126" s="38">
        <v>2000</v>
      </c>
      <c r="B126" s="38" t="s">
        <v>186</v>
      </c>
      <c r="C126" s="38" t="s">
        <v>43</v>
      </c>
      <c r="D126" s="38" t="s">
        <v>185</v>
      </c>
      <c r="E126" s="38">
        <v>9654</v>
      </c>
      <c r="F126" s="38"/>
      <c r="G126" s="38">
        <v>1930.8000000000002</v>
      </c>
      <c r="H126" s="36">
        <f t="shared" si="14"/>
        <v>1930.8000000000002</v>
      </c>
      <c r="J126" s="36">
        <v>9.6539999999999999</v>
      </c>
      <c r="K126" s="36">
        <f t="shared" si="15"/>
        <v>9654</v>
      </c>
    </row>
    <row r="127" spans="1:13" x14ac:dyDescent="0.2">
      <c r="A127" s="39">
        <v>2000</v>
      </c>
      <c r="B127" s="39" t="s">
        <v>186</v>
      </c>
      <c r="C127" s="39" t="s">
        <v>43</v>
      </c>
      <c r="D127" s="39" t="s">
        <v>190</v>
      </c>
      <c r="E127" s="39">
        <v>7409</v>
      </c>
      <c r="F127" s="39"/>
      <c r="G127" s="39">
        <v>1481.8000000000002</v>
      </c>
      <c r="H127" s="36">
        <f t="shared" si="14"/>
        <v>1481.8000000000002</v>
      </c>
      <c r="J127" s="36">
        <v>7.4089999999999998</v>
      </c>
      <c r="K127" s="36">
        <f t="shared" si="15"/>
        <v>7409</v>
      </c>
    </row>
    <row r="128" spans="1:13" x14ac:dyDescent="0.2">
      <c r="A128" s="38">
        <v>2000</v>
      </c>
      <c r="B128" s="38" t="s">
        <v>186</v>
      </c>
      <c r="C128" s="38" t="s">
        <v>43</v>
      </c>
      <c r="D128" s="38" t="s">
        <v>191</v>
      </c>
      <c r="E128" s="38">
        <v>4931</v>
      </c>
      <c r="F128" s="38"/>
      <c r="G128" s="38">
        <v>986.2</v>
      </c>
      <c r="H128" s="36">
        <f t="shared" si="14"/>
        <v>986.2</v>
      </c>
      <c r="J128" s="36">
        <v>4.931</v>
      </c>
      <c r="K128" s="36">
        <f t="shared" si="15"/>
        <v>4931</v>
      </c>
    </row>
    <row r="129" spans="1:11" x14ac:dyDescent="0.2">
      <c r="A129" s="39">
        <v>2000</v>
      </c>
      <c r="B129" s="39" t="s">
        <v>186</v>
      </c>
      <c r="C129" s="39" t="s">
        <v>43</v>
      </c>
      <c r="D129" s="39" t="s">
        <v>192</v>
      </c>
      <c r="E129" s="39">
        <v>2804</v>
      </c>
      <c r="F129" s="39"/>
      <c r="G129" s="39">
        <v>560.80000000000007</v>
      </c>
      <c r="H129" s="36">
        <f t="shared" si="14"/>
        <v>560.80000000000007</v>
      </c>
      <c r="J129" s="36">
        <v>2.8039999999999998</v>
      </c>
      <c r="K129" s="36">
        <f t="shared" si="15"/>
        <v>2804</v>
      </c>
    </row>
    <row r="130" spans="1:11" x14ac:dyDescent="0.2">
      <c r="A130" s="38">
        <v>2000</v>
      </c>
      <c r="B130" s="38" t="s">
        <v>186</v>
      </c>
      <c r="C130" s="38" t="s">
        <v>43</v>
      </c>
      <c r="D130" s="38" t="s">
        <v>254</v>
      </c>
      <c r="E130" s="38">
        <v>1336</v>
      </c>
      <c r="F130" s="38"/>
      <c r="G130" s="38">
        <v>267.2</v>
      </c>
      <c r="H130" s="36">
        <f t="shared" si="14"/>
        <v>267.2</v>
      </c>
      <c r="J130" s="36">
        <v>1.3360000000000001</v>
      </c>
      <c r="K130" s="36">
        <f t="shared" si="15"/>
        <v>1336</v>
      </c>
    </row>
    <row r="131" spans="1:11" x14ac:dyDescent="0.2">
      <c r="A131" s="39">
        <v>2000</v>
      </c>
      <c r="B131" s="39" t="s">
        <v>186</v>
      </c>
      <c r="C131" s="39" t="s">
        <v>43</v>
      </c>
      <c r="D131" s="39" t="s">
        <v>255</v>
      </c>
      <c r="E131" s="39">
        <v>408</v>
      </c>
      <c r="F131" s="39"/>
      <c r="G131" s="39">
        <v>81.600000000000009</v>
      </c>
      <c r="H131" s="36">
        <f t="shared" si="14"/>
        <v>81.600000000000009</v>
      </c>
      <c r="J131" s="36">
        <v>0.40799999999999997</v>
      </c>
      <c r="K131" s="36">
        <f t="shared" si="15"/>
        <v>408</v>
      </c>
    </row>
    <row r="132" spans="1:11" x14ac:dyDescent="0.2">
      <c r="A132" s="38">
        <v>2000</v>
      </c>
      <c r="B132" s="38" t="s">
        <v>186</v>
      </c>
      <c r="C132" s="38" t="s">
        <v>43</v>
      </c>
      <c r="D132" s="38" t="s">
        <v>256</v>
      </c>
      <c r="E132" s="38">
        <v>63</v>
      </c>
      <c r="F132" s="38"/>
      <c r="G132" s="38">
        <v>12.600000000000001</v>
      </c>
      <c r="H132" s="36">
        <f t="shared" si="14"/>
        <v>12.600000000000001</v>
      </c>
      <c r="J132" s="36">
        <v>6.3E-2</v>
      </c>
      <c r="K132" s="36">
        <f t="shared" si="15"/>
        <v>63</v>
      </c>
    </row>
    <row r="133" spans="1:11" x14ac:dyDescent="0.2">
      <c r="A133" s="39">
        <v>2000</v>
      </c>
      <c r="B133" s="39" t="s">
        <v>186</v>
      </c>
      <c r="C133" s="39" t="s">
        <v>43</v>
      </c>
      <c r="D133" s="39" t="s">
        <v>257</v>
      </c>
      <c r="E133" s="39">
        <v>4</v>
      </c>
      <c r="F133" s="39"/>
      <c r="G133" s="39">
        <v>0.8</v>
      </c>
      <c r="H133" s="36">
        <f t="shared" si="14"/>
        <v>0.8</v>
      </c>
      <c r="J133" s="36">
        <v>4.0000000000000001E-3</v>
      </c>
      <c r="K133" s="36">
        <f t="shared" si="15"/>
        <v>4</v>
      </c>
    </row>
    <row r="134" spans="1:11" x14ac:dyDescent="0.2">
      <c r="A134" s="38"/>
      <c r="B134" s="38"/>
      <c r="C134" s="38"/>
      <c r="D134" s="38"/>
      <c r="E134" s="38"/>
      <c r="F134" s="38"/>
      <c r="G134" s="38"/>
      <c r="K134" s="36">
        <f>SUM(K114:K133)</f>
        <v>521949</v>
      </c>
    </row>
    <row r="135" spans="1:11" x14ac:dyDescent="0.2">
      <c r="A135" s="38">
        <v>2005</v>
      </c>
      <c r="B135" s="38" t="s">
        <v>186</v>
      </c>
      <c r="C135" s="38" t="s">
        <v>43</v>
      </c>
      <c r="D135" s="38" t="s">
        <v>187</v>
      </c>
      <c r="E135" s="38">
        <v>71369</v>
      </c>
      <c r="F135" s="38"/>
      <c r="G135" s="38">
        <v>14273.800000000001</v>
      </c>
      <c r="H135" s="36">
        <f t="shared" ref="H135:H154" si="16">0.2*E135</f>
        <v>14273.800000000001</v>
      </c>
      <c r="J135" s="36">
        <v>71.369</v>
      </c>
      <c r="K135" s="36">
        <f>1000*J135</f>
        <v>71369</v>
      </c>
    </row>
    <row r="136" spans="1:11" x14ac:dyDescent="0.2">
      <c r="A136" s="39">
        <v>2005</v>
      </c>
      <c r="B136" s="39" t="s">
        <v>186</v>
      </c>
      <c r="C136" s="39" t="s">
        <v>43</v>
      </c>
      <c r="D136" s="39" t="s">
        <v>188</v>
      </c>
      <c r="E136" s="39">
        <v>69472</v>
      </c>
      <c r="F136" s="39"/>
      <c r="G136" s="39">
        <v>13894.400000000001</v>
      </c>
      <c r="H136" s="36">
        <f t="shared" si="16"/>
        <v>13894.400000000001</v>
      </c>
      <c r="J136" s="36">
        <v>69.471999999999994</v>
      </c>
      <c r="K136" s="36">
        <f t="shared" ref="K136:K154" si="17">1000*J136</f>
        <v>69472</v>
      </c>
    </row>
    <row r="137" spans="1:11" x14ac:dyDescent="0.2">
      <c r="A137" s="38">
        <v>2005</v>
      </c>
      <c r="B137" s="38" t="s">
        <v>186</v>
      </c>
      <c r="C137" s="38" t="s">
        <v>43</v>
      </c>
      <c r="D137" s="38" t="s">
        <v>189</v>
      </c>
      <c r="E137" s="38">
        <v>71638</v>
      </c>
      <c r="F137" s="38"/>
      <c r="G137" s="38">
        <v>14327.6</v>
      </c>
      <c r="H137" s="36">
        <f t="shared" si="16"/>
        <v>14327.6</v>
      </c>
      <c r="J137" s="36">
        <v>71.638000000000005</v>
      </c>
      <c r="K137" s="36">
        <f t="shared" si="17"/>
        <v>71638</v>
      </c>
    </row>
    <row r="138" spans="1:11" x14ac:dyDescent="0.2">
      <c r="A138" s="39">
        <v>2005</v>
      </c>
      <c r="B138" s="39" t="s">
        <v>186</v>
      </c>
      <c r="C138" s="39" t="s">
        <v>43</v>
      </c>
      <c r="D138" s="39" t="s">
        <v>176</v>
      </c>
      <c r="E138" s="39">
        <v>65507.999999999993</v>
      </c>
      <c r="F138" s="39"/>
      <c r="G138" s="39">
        <v>13101.599999999999</v>
      </c>
      <c r="H138" s="36">
        <f t="shared" si="16"/>
        <v>13101.599999999999</v>
      </c>
      <c r="J138" s="36">
        <v>65.507999999999996</v>
      </c>
      <c r="K138" s="36">
        <f t="shared" si="17"/>
        <v>65507.999999999993</v>
      </c>
    </row>
    <row r="139" spans="1:11" x14ac:dyDescent="0.2">
      <c r="A139" s="38">
        <v>2005</v>
      </c>
      <c r="B139" s="38" t="s">
        <v>186</v>
      </c>
      <c r="C139" s="38" t="s">
        <v>43</v>
      </c>
      <c r="D139" s="38" t="s">
        <v>177</v>
      </c>
      <c r="E139" s="38">
        <v>58867</v>
      </c>
      <c r="F139" s="38"/>
      <c r="G139" s="38">
        <v>11773.400000000001</v>
      </c>
      <c r="H139" s="36">
        <f t="shared" si="16"/>
        <v>11773.400000000001</v>
      </c>
      <c r="J139" s="36">
        <v>58.866999999999997</v>
      </c>
      <c r="K139" s="36">
        <f t="shared" si="17"/>
        <v>58867</v>
      </c>
    </row>
    <row r="140" spans="1:11" x14ac:dyDescent="0.2">
      <c r="A140" s="39">
        <v>2005</v>
      </c>
      <c r="B140" s="39" t="s">
        <v>186</v>
      </c>
      <c r="C140" s="39" t="s">
        <v>43</v>
      </c>
      <c r="D140" s="39" t="s">
        <v>178</v>
      </c>
      <c r="E140" s="39">
        <v>44382</v>
      </c>
      <c r="F140" s="39"/>
      <c r="G140" s="39">
        <v>8876.4</v>
      </c>
      <c r="H140" s="36">
        <f t="shared" si="16"/>
        <v>8876.4</v>
      </c>
      <c r="J140" s="36">
        <v>44.381999999999998</v>
      </c>
      <c r="K140" s="36">
        <f t="shared" si="17"/>
        <v>44382</v>
      </c>
    </row>
    <row r="141" spans="1:11" x14ac:dyDescent="0.2">
      <c r="A141" s="38">
        <v>2005</v>
      </c>
      <c r="B141" s="38" t="s">
        <v>186</v>
      </c>
      <c r="C141" s="38" t="s">
        <v>43</v>
      </c>
      <c r="D141" s="38" t="s">
        <v>179</v>
      </c>
      <c r="E141" s="38">
        <v>33964</v>
      </c>
      <c r="F141" s="38"/>
      <c r="G141" s="38">
        <v>6792.8</v>
      </c>
      <c r="H141" s="36">
        <f t="shared" si="16"/>
        <v>6792.8</v>
      </c>
      <c r="J141" s="36">
        <v>33.963999999999999</v>
      </c>
      <c r="K141" s="36">
        <f t="shared" si="17"/>
        <v>33964</v>
      </c>
    </row>
    <row r="142" spans="1:11" x14ac:dyDescent="0.2">
      <c r="A142" s="39">
        <v>2005</v>
      </c>
      <c r="B142" s="39" t="s">
        <v>186</v>
      </c>
      <c r="C142" s="39" t="s">
        <v>43</v>
      </c>
      <c r="D142" s="39" t="s">
        <v>180</v>
      </c>
      <c r="E142" s="39">
        <v>27396</v>
      </c>
      <c r="F142" s="39"/>
      <c r="G142" s="39">
        <v>5479.2000000000007</v>
      </c>
      <c r="H142" s="36">
        <f t="shared" si="16"/>
        <v>5479.2000000000007</v>
      </c>
      <c r="J142" s="36">
        <v>27.396000000000001</v>
      </c>
      <c r="K142" s="36">
        <f t="shared" si="17"/>
        <v>27396</v>
      </c>
    </row>
    <row r="143" spans="1:11" x14ac:dyDescent="0.2">
      <c r="A143" s="38">
        <v>2005</v>
      </c>
      <c r="B143" s="38" t="s">
        <v>186</v>
      </c>
      <c r="C143" s="38" t="s">
        <v>43</v>
      </c>
      <c r="D143" s="38" t="s">
        <v>181</v>
      </c>
      <c r="E143" s="38">
        <v>22779</v>
      </c>
      <c r="F143" s="38"/>
      <c r="G143" s="38">
        <v>4555.8</v>
      </c>
      <c r="H143" s="36">
        <f t="shared" si="16"/>
        <v>4555.8</v>
      </c>
      <c r="J143" s="36">
        <v>22.779</v>
      </c>
      <c r="K143" s="36">
        <f t="shared" si="17"/>
        <v>22779</v>
      </c>
    </row>
    <row r="144" spans="1:11" x14ac:dyDescent="0.2">
      <c r="A144" s="39">
        <v>2005</v>
      </c>
      <c r="B144" s="39" t="s">
        <v>186</v>
      </c>
      <c r="C144" s="39" t="s">
        <v>43</v>
      </c>
      <c r="D144" s="39" t="s">
        <v>182</v>
      </c>
      <c r="E144" s="39">
        <v>18237</v>
      </c>
      <c r="F144" s="39"/>
      <c r="G144" s="39">
        <v>3647.4</v>
      </c>
      <c r="H144" s="36">
        <f t="shared" si="16"/>
        <v>3647.4</v>
      </c>
      <c r="J144" s="36">
        <v>18.236999999999998</v>
      </c>
      <c r="K144" s="36">
        <f t="shared" si="17"/>
        <v>18237</v>
      </c>
    </row>
    <row r="145" spans="1:11" x14ac:dyDescent="0.2">
      <c r="A145" s="38">
        <v>2005</v>
      </c>
      <c r="B145" s="38" t="s">
        <v>186</v>
      </c>
      <c r="C145" s="38" t="s">
        <v>43</v>
      </c>
      <c r="D145" s="38" t="s">
        <v>183</v>
      </c>
      <c r="E145" s="38">
        <v>14405</v>
      </c>
      <c r="F145" s="38"/>
      <c r="G145" s="38">
        <v>2881</v>
      </c>
      <c r="H145" s="36">
        <f t="shared" si="16"/>
        <v>2881</v>
      </c>
      <c r="J145" s="36">
        <v>14.404999999999999</v>
      </c>
      <c r="K145" s="36">
        <f t="shared" si="17"/>
        <v>14405</v>
      </c>
    </row>
    <row r="146" spans="1:11" x14ac:dyDescent="0.2">
      <c r="A146" s="39">
        <v>2005</v>
      </c>
      <c r="B146" s="39" t="s">
        <v>186</v>
      </c>
      <c r="C146" s="39" t="s">
        <v>43</v>
      </c>
      <c r="D146" s="39" t="s">
        <v>184</v>
      </c>
      <c r="E146" s="39">
        <v>11934</v>
      </c>
      <c r="F146" s="39"/>
      <c r="G146" s="39">
        <v>2386.8000000000002</v>
      </c>
      <c r="H146" s="36">
        <f t="shared" si="16"/>
        <v>2386.8000000000002</v>
      </c>
      <c r="J146" s="36">
        <v>11.933999999999999</v>
      </c>
      <c r="K146" s="36">
        <f t="shared" si="17"/>
        <v>11934</v>
      </c>
    </row>
    <row r="147" spans="1:11" x14ac:dyDescent="0.2">
      <c r="A147" s="38">
        <v>2005</v>
      </c>
      <c r="B147" s="38" t="s">
        <v>186</v>
      </c>
      <c r="C147" s="38" t="s">
        <v>43</v>
      </c>
      <c r="D147" s="38" t="s">
        <v>185</v>
      </c>
      <c r="E147" s="38">
        <v>10208</v>
      </c>
      <c r="F147" s="38"/>
      <c r="G147" s="38">
        <v>2041.6000000000001</v>
      </c>
      <c r="H147" s="36">
        <f t="shared" si="16"/>
        <v>2041.6000000000001</v>
      </c>
      <c r="J147" s="36">
        <v>10.208</v>
      </c>
      <c r="K147" s="36">
        <f t="shared" si="17"/>
        <v>10208</v>
      </c>
    </row>
    <row r="148" spans="1:11" x14ac:dyDescent="0.2">
      <c r="A148" s="39">
        <v>2005</v>
      </c>
      <c r="B148" s="39" t="s">
        <v>186</v>
      </c>
      <c r="C148" s="39" t="s">
        <v>43</v>
      </c>
      <c r="D148" s="39" t="s">
        <v>190</v>
      </c>
      <c r="E148" s="39">
        <v>8642</v>
      </c>
      <c r="F148" s="39"/>
      <c r="G148" s="39">
        <v>1728.4</v>
      </c>
      <c r="H148" s="36">
        <f t="shared" si="16"/>
        <v>1728.4</v>
      </c>
      <c r="J148" s="36">
        <v>8.6419999999999995</v>
      </c>
      <c r="K148" s="36">
        <f t="shared" si="17"/>
        <v>8642</v>
      </c>
    </row>
    <row r="149" spans="1:11" x14ac:dyDescent="0.2">
      <c r="A149" s="38">
        <v>2005</v>
      </c>
      <c r="B149" s="38" t="s">
        <v>186</v>
      </c>
      <c r="C149" s="38" t="s">
        <v>43</v>
      </c>
      <c r="D149" s="38" t="s">
        <v>191</v>
      </c>
      <c r="E149" s="38">
        <v>6212</v>
      </c>
      <c r="F149" s="38"/>
      <c r="G149" s="38">
        <v>1242.4000000000001</v>
      </c>
      <c r="H149" s="36">
        <f t="shared" si="16"/>
        <v>1242.4000000000001</v>
      </c>
      <c r="J149" s="36">
        <v>6.2119999999999997</v>
      </c>
      <c r="K149" s="36">
        <f t="shared" si="17"/>
        <v>6212</v>
      </c>
    </row>
    <row r="150" spans="1:11" x14ac:dyDescent="0.2">
      <c r="A150" s="39">
        <v>2005</v>
      </c>
      <c r="B150" s="39" t="s">
        <v>186</v>
      </c>
      <c r="C150" s="39" t="s">
        <v>43</v>
      </c>
      <c r="D150" s="39" t="s">
        <v>192</v>
      </c>
      <c r="E150" s="39">
        <v>3743</v>
      </c>
      <c r="F150" s="39"/>
      <c r="G150" s="39">
        <v>748.6</v>
      </c>
      <c r="H150" s="36">
        <f t="shared" si="16"/>
        <v>748.6</v>
      </c>
      <c r="J150" s="36">
        <v>3.7429999999999999</v>
      </c>
      <c r="K150" s="36">
        <f t="shared" si="17"/>
        <v>3743</v>
      </c>
    </row>
    <row r="151" spans="1:11" x14ac:dyDescent="0.2">
      <c r="A151" s="39">
        <v>2005</v>
      </c>
      <c r="B151" s="39" t="s">
        <v>186</v>
      </c>
      <c r="C151" s="39" t="s">
        <v>43</v>
      </c>
      <c r="D151" s="39" t="s">
        <v>254</v>
      </c>
      <c r="E151" s="39">
        <v>1814</v>
      </c>
      <c r="F151" s="39"/>
      <c r="G151" s="39">
        <v>362.8</v>
      </c>
      <c r="H151" s="36">
        <f t="shared" si="16"/>
        <v>362.8</v>
      </c>
      <c r="J151" s="36">
        <v>1.8140000000000001</v>
      </c>
      <c r="K151" s="36">
        <f t="shared" si="17"/>
        <v>1814</v>
      </c>
    </row>
    <row r="152" spans="1:11" x14ac:dyDescent="0.2">
      <c r="A152" s="38">
        <v>2005</v>
      </c>
      <c r="B152" s="38" t="s">
        <v>186</v>
      </c>
      <c r="C152" s="38" t="s">
        <v>43</v>
      </c>
      <c r="D152" s="38" t="s">
        <v>255</v>
      </c>
      <c r="E152" s="38">
        <v>633</v>
      </c>
      <c r="F152" s="38"/>
      <c r="G152" s="38">
        <v>126.60000000000001</v>
      </c>
      <c r="H152" s="36">
        <f t="shared" si="16"/>
        <v>126.60000000000001</v>
      </c>
      <c r="J152" s="36">
        <v>0.63300000000000001</v>
      </c>
      <c r="K152" s="36">
        <f t="shared" si="17"/>
        <v>633</v>
      </c>
    </row>
    <row r="153" spans="1:11" x14ac:dyDescent="0.2">
      <c r="A153" s="39">
        <v>2005</v>
      </c>
      <c r="B153" s="39" t="s">
        <v>186</v>
      </c>
      <c r="C153" s="39" t="s">
        <v>43</v>
      </c>
      <c r="D153" s="39" t="s">
        <v>256</v>
      </c>
      <c r="E153" s="39">
        <v>127</v>
      </c>
      <c r="F153" s="39"/>
      <c r="G153" s="39">
        <v>25.400000000000002</v>
      </c>
      <c r="H153" s="36">
        <f t="shared" si="16"/>
        <v>25.400000000000002</v>
      </c>
      <c r="J153" s="36">
        <v>0.127</v>
      </c>
      <c r="K153" s="36">
        <f t="shared" si="17"/>
        <v>127</v>
      </c>
    </row>
    <row r="154" spans="1:11" x14ac:dyDescent="0.2">
      <c r="A154" s="38">
        <v>2005</v>
      </c>
      <c r="B154" s="38" t="s">
        <v>186</v>
      </c>
      <c r="C154" s="38" t="s">
        <v>43</v>
      </c>
      <c r="D154" s="38" t="s">
        <v>257</v>
      </c>
      <c r="E154" s="38">
        <v>13</v>
      </c>
      <c r="F154" s="38"/>
      <c r="G154" s="38">
        <v>2.6</v>
      </c>
      <c r="H154" s="36">
        <f t="shared" si="16"/>
        <v>2.6</v>
      </c>
      <c r="J154" s="36">
        <v>1.2999999999999999E-2</v>
      </c>
      <c r="K154" s="36">
        <f t="shared" si="17"/>
        <v>13</v>
      </c>
    </row>
    <row r="155" spans="1:11" x14ac:dyDescent="0.2">
      <c r="A155" s="39"/>
      <c r="B155" s="39"/>
      <c r="C155" s="39"/>
      <c r="D155" s="39"/>
      <c r="E155" s="39"/>
      <c r="F155" s="39"/>
      <c r="G155" s="39"/>
      <c r="K155" s="36">
        <f>SUM(K135:K154)</f>
        <v>541343</v>
      </c>
    </row>
    <row r="156" spans="1:11" x14ac:dyDescent="0.2">
      <c r="A156" s="38">
        <v>2010</v>
      </c>
      <c r="B156" s="38" t="s">
        <v>186</v>
      </c>
      <c r="C156" s="38" t="s">
        <v>43</v>
      </c>
      <c r="D156" s="38" t="s">
        <v>187</v>
      </c>
      <c r="E156" s="38">
        <v>75285</v>
      </c>
      <c r="F156" s="38"/>
      <c r="G156" s="38">
        <v>15057</v>
      </c>
      <c r="H156" s="36">
        <f t="shared" ref="H156:H175" si="18">0.2*E156</f>
        <v>15057</v>
      </c>
      <c r="J156" s="36">
        <v>75.284999999999997</v>
      </c>
      <c r="K156" s="36">
        <f>1000*J156</f>
        <v>75285</v>
      </c>
    </row>
    <row r="157" spans="1:11" x14ac:dyDescent="0.2">
      <c r="A157" s="39">
        <v>2010</v>
      </c>
      <c r="B157" s="39" t="s">
        <v>186</v>
      </c>
      <c r="C157" s="39" t="s">
        <v>43</v>
      </c>
      <c r="D157" s="39" t="s">
        <v>188</v>
      </c>
      <c r="E157" s="39">
        <v>69313</v>
      </c>
      <c r="F157" s="39"/>
      <c r="G157" s="39">
        <v>13862.6</v>
      </c>
      <c r="H157" s="36">
        <f t="shared" si="18"/>
        <v>13862.6</v>
      </c>
      <c r="J157" s="36">
        <v>69.313000000000002</v>
      </c>
      <c r="K157" s="36">
        <f t="shared" ref="K157:K175" si="19">1000*J157</f>
        <v>69313</v>
      </c>
    </row>
    <row r="158" spans="1:11" x14ac:dyDescent="0.2">
      <c r="A158" s="38">
        <v>2010</v>
      </c>
      <c r="B158" s="38" t="s">
        <v>186</v>
      </c>
      <c r="C158" s="38" t="s">
        <v>43</v>
      </c>
      <c r="D158" s="38" t="s">
        <v>189</v>
      </c>
      <c r="E158" s="38">
        <v>68885</v>
      </c>
      <c r="F158" s="38"/>
      <c r="G158" s="38">
        <v>13777</v>
      </c>
      <c r="H158" s="36">
        <f t="shared" si="18"/>
        <v>13777</v>
      </c>
      <c r="J158" s="36">
        <v>68.885000000000005</v>
      </c>
      <c r="K158" s="36">
        <f t="shared" si="19"/>
        <v>68885</v>
      </c>
    </row>
    <row r="159" spans="1:11" x14ac:dyDescent="0.2">
      <c r="A159" s="39">
        <v>2010</v>
      </c>
      <c r="B159" s="39" t="s">
        <v>186</v>
      </c>
      <c r="C159" s="39" t="s">
        <v>43</v>
      </c>
      <c r="D159" s="39" t="s">
        <v>176</v>
      </c>
      <c r="E159" s="39">
        <v>67947</v>
      </c>
      <c r="F159" s="39"/>
      <c r="G159" s="39">
        <v>13589.400000000001</v>
      </c>
      <c r="H159" s="36">
        <f t="shared" si="18"/>
        <v>13589.400000000001</v>
      </c>
      <c r="J159" s="36">
        <v>67.947000000000003</v>
      </c>
      <c r="K159" s="36">
        <f t="shared" si="19"/>
        <v>67947</v>
      </c>
    </row>
    <row r="160" spans="1:11" x14ac:dyDescent="0.2">
      <c r="A160" s="38">
        <v>2010</v>
      </c>
      <c r="B160" s="38" t="s">
        <v>186</v>
      </c>
      <c r="C160" s="38" t="s">
        <v>43</v>
      </c>
      <c r="D160" s="38" t="s">
        <v>177</v>
      </c>
      <c r="E160" s="38">
        <v>59651</v>
      </c>
      <c r="F160" s="38"/>
      <c r="G160" s="38">
        <v>11930.2</v>
      </c>
      <c r="H160" s="36">
        <f t="shared" si="18"/>
        <v>11930.2</v>
      </c>
      <c r="J160" s="36">
        <v>59.651000000000003</v>
      </c>
      <c r="K160" s="36">
        <f t="shared" si="19"/>
        <v>59651</v>
      </c>
    </row>
    <row r="161" spans="1:11" x14ac:dyDescent="0.2">
      <c r="A161" s="39">
        <v>2010</v>
      </c>
      <c r="B161" s="39" t="s">
        <v>186</v>
      </c>
      <c r="C161" s="39" t="s">
        <v>43</v>
      </c>
      <c r="D161" s="39" t="s">
        <v>178</v>
      </c>
      <c r="E161" s="39">
        <v>51305</v>
      </c>
      <c r="F161" s="39"/>
      <c r="G161" s="39">
        <v>10261</v>
      </c>
      <c r="H161" s="36">
        <f t="shared" si="18"/>
        <v>10261</v>
      </c>
      <c r="J161" s="36">
        <v>51.305</v>
      </c>
      <c r="K161" s="36">
        <f t="shared" si="19"/>
        <v>51305</v>
      </c>
    </row>
    <row r="162" spans="1:11" x14ac:dyDescent="0.2">
      <c r="A162" s="38">
        <v>2010</v>
      </c>
      <c r="B162" s="38" t="s">
        <v>186</v>
      </c>
      <c r="C162" s="38" t="s">
        <v>43</v>
      </c>
      <c r="D162" s="38" t="s">
        <v>179</v>
      </c>
      <c r="E162" s="38">
        <v>38939</v>
      </c>
      <c r="F162" s="38"/>
      <c r="G162" s="38">
        <v>7787.8</v>
      </c>
      <c r="H162" s="36">
        <f t="shared" si="18"/>
        <v>7787.8</v>
      </c>
      <c r="J162" s="36">
        <v>38.939</v>
      </c>
      <c r="K162" s="36">
        <f t="shared" si="19"/>
        <v>38939</v>
      </c>
    </row>
    <row r="163" spans="1:11" x14ac:dyDescent="0.2">
      <c r="A163" s="39">
        <v>2010</v>
      </c>
      <c r="B163" s="39" t="s">
        <v>186</v>
      </c>
      <c r="C163" s="39" t="s">
        <v>43</v>
      </c>
      <c r="D163" s="39" t="s">
        <v>180</v>
      </c>
      <c r="E163" s="39">
        <v>31920</v>
      </c>
      <c r="F163" s="39"/>
      <c r="G163" s="39">
        <v>6384</v>
      </c>
      <c r="H163" s="36">
        <f t="shared" si="18"/>
        <v>6384</v>
      </c>
      <c r="J163" s="36">
        <v>31.92</v>
      </c>
      <c r="K163" s="36">
        <f t="shared" si="19"/>
        <v>31920</v>
      </c>
    </row>
    <row r="164" spans="1:11" x14ac:dyDescent="0.2">
      <c r="A164" s="38">
        <v>2010</v>
      </c>
      <c r="B164" s="38" t="s">
        <v>186</v>
      </c>
      <c r="C164" s="38" t="s">
        <v>43</v>
      </c>
      <c r="D164" s="38" t="s">
        <v>181</v>
      </c>
      <c r="E164" s="38">
        <v>22787</v>
      </c>
      <c r="F164" s="38"/>
      <c r="G164" s="38">
        <v>4557.4000000000005</v>
      </c>
      <c r="H164" s="36">
        <f t="shared" si="18"/>
        <v>4557.4000000000005</v>
      </c>
      <c r="J164" s="36">
        <v>22.786999999999999</v>
      </c>
      <c r="K164" s="36">
        <f t="shared" si="19"/>
        <v>22787</v>
      </c>
    </row>
    <row r="165" spans="1:11" x14ac:dyDescent="0.2">
      <c r="A165" s="39">
        <v>2010</v>
      </c>
      <c r="B165" s="39" t="s">
        <v>186</v>
      </c>
      <c r="C165" s="39" t="s">
        <v>43</v>
      </c>
      <c r="D165" s="39" t="s">
        <v>182</v>
      </c>
      <c r="E165" s="39">
        <v>16592</v>
      </c>
      <c r="F165" s="39"/>
      <c r="G165" s="39">
        <v>3318.4</v>
      </c>
      <c r="H165" s="36">
        <f t="shared" si="18"/>
        <v>3318.4</v>
      </c>
      <c r="J165" s="36">
        <v>16.591999999999999</v>
      </c>
      <c r="K165" s="36">
        <f t="shared" si="19"/>
        <v>16592</v>
      </c>
    </row>
    <row r="166" spans="1:11" x14ac:dyDescent="0.2">
      <c r="A166" s="38">
        <v>2010</v>
      </c>
      <c r="B166" s="38" t="s">
        <v>186</v>
      </c>
      <c r="C166" s="38" t="s">
        <v>43</v>
      </c>
      <c r="D166" s="38" t="s">
        <v>183</v>
      </c>
      <c r="E166" s="38">
        <v>12626</v>
      </c>
      <c r="F166" s="38"/>
      <c r="G166" s="38">
        <v>2525.2000000000003</v>
      </c>
      <c r="H166" s="36">
        <f t="shared" si="18"/>
        <v>2525.2000000000003</v>
      </c>
      <c r="J166" s="36">
        <v>12.625999999999999</v>
      </c>
      <c r="K166" s="36">
        <f t="shared" si="19"/>
        <v>12626</v>
      </c>
    </row>
    <row r="167" spans="1:11" x14ac:dyDescent="0.2">
      <c r="A167" s="39">
        <v>2010</v>
      </c>
      <c r="B167" s="39" t="s">
        <v>186</v>
      </c>
      <c r="C167" s="39" t="s">
        <v>43</v>
      </c>
      <c r="D167" s="39" t="s">
        <v>184</v>
      </c>
      <c r="E167" s="39">
        <v>11369</v>
      </c>
      <c r="F167" s="39"/>
      <c r="G167" s="39">
        <v>2273.8000000000002</v>
      </c>
      <c r="H167" s="36">
        <f t="shared" si="18"/>
        <v>2273.8000000000002</v>
      </c>
      <c r="J167" s="36">
        <v>11.369</v>
      </c>
      <c r="K167" s="36">
        <f t="shared" si="19"/>
        <v>11369</v>
      </c>
    </row>
    <row r="168" spans="1:11" x14ac:dyDescent="0.2">
      <c r="A168" s="38">
        <v>2010</v>
      </c>
      <c r="B168" s="38" t="s">
        <v>186</v>
      </c>
      <c r="C168" s="38" t="s">
        <v>43</v>
      </c>
      <c r="D168" s="38" t="s">
        <v>185</v>
      </c>
      <c r="E168" s="38">
        <v>11010</v>
      </c>
      <c r="F168" s="38"/>
      <c r="G168" s="38">
        <v>2202</v>
      </c>
      <c r="H168" s="36">
        <f t="shared" si="18"/>
        <v>2202</v>
      </c>
      <c r="J168" s="36">
        <v>11.01</v>
      </c>
      <c r="K168" s="36">
        <f t="shared" si="19"/>
        <v>11010</v>
      </c>
    </row>
    <row r="169" spans="1:11" x14ac:dyDescent="0.2">
      <c r="A169" s="39">
        <v>2010</v>
      </c>
      <c r="B169" s="39" t="s">
        <v>186</v>
      </c>
      <c r="C169" s="39" t="s">
        <v>43</v>
      </c>
      <c r="D169" s="39" t="s">
        <v>190</v>
      </c>
      <c r="E169" s="39">
        <v>9290</v>
      </c>
      <c r="F169" s="39"/>
      <c r="G169" s="39">
        <v>1858</v>
      </c>
      <c r="H169" s="36">
        <f t="shared" si="18"/>
        <v>1858</v>
      </c>
      <c r="J169" s="36">
        <v>9.2899999999999991</v>
      </c>
      <c r="K169" s="36">
        <f t="shared" si="19"/>
        <v>9290</v>
      </c>
    </row>
    <row r="170" spans="1:11" x14ac:dyDescent="0.2">
      <c r="A170" s="38">
        <v>2010</v>
      </c>
      <c r="B170" s="38" t="s">
        <v>186</v>
      </c>
      <c r="C170" s="38" t="s">
        <v>43</v>
      </c>
      <c r="D170" s="38" t="s">
        <v>191</v>
      </c>
      <c r="E170" s="38">
        <v>7327</v>
      </c>
      <c r="F170" s="38"/>
      <c r="G170" s="38">
        <v>1465.4</v>
      </c>
      <c r="H170" s="36">
        <f t="shared" si="18"/>
        <v>1465.4</v>
      </c>
      <c r="J170" s="36">
        <v>7.327</v>
      </c>
      <c r="K170" s="36">
        <f t="shared" si="19"/>
        <v>7327</v>
      </c>
    </row>
    <row r="171" spans="1:11" x14ac:dyDescent="0.2">
      <c r="A171" s="39">
        <v>2010</v>
      </c>
      <c r="B171" s="39" t="s">
        <v>186</v>
      </c>
      <c r="C171" s="39" t="s">
        <v>43</v>
      </c>
      <c r="D171" s="39" t="s">
        <v>192</v>
      </c>
      <c r="E171" s="39">
        <v>4779</v>
      </c>
      <c r="F171" s="39"/>
      <c r="G171" s="39">
        <v>955.80000000000007</v>
      </c>
      <c r="H171" s="36">
        <f t="shared" si="18"/>
        <v>955.80000000000007</v>
      </c>
      <c r="J171" s="36">
        <v>4.7789999999999999</v>
      </c>
      <c r="K171" s="36">
        <f t="shared" si="19"/>
        <v>4779</v>
      </c>
    </row>
    <row r="172" spans="1:11" x14ac:dyDescent="0.2">
      <c r="A172" s="38">
        <v>2010</v>
      </c>
      <c r="B172" s="38" t="s">
        <v>186</v>
      </c>
      <c r="C172" s="38" t="s">
        <v>43</v>
      </c>
      <c r="D172" s="38" t="s">
        <v>254</v>
      </c>
      <c r="E172" s="38">
        <v>2483</v>
      </c>
      <c r="F172" s="38"/>
      <c r="G172" s="38">
        <v>496.6</v>
      </c>
      <c r="H172" s="36">
        <f t="shared" si="18"/>
        <v>496.6</v>
      </c>
      <c r="J172" s="36">
        <v>2.4830000000000001</v>
      </c>
      <c r="K172" s="36">
        <f t="shared" si="19"/>
        <v>2483</v>
      </c>
    </row>
    <row r="173" spans="1:11" x14ac:dyDescent="0.2">
      <c r="A173" s="39">
        <v>2010</v>
      </c>
      <c r="B173" s="39" t="s">
        <v>186</v>
      </c>
      <c r="C173" s="39" t="s">
        <v>43</v>
      </c>
      <c r="D173" s="39" t="s">
        <v>255</v>
      </c>
      <c r="E173" s="39">
        <v>902</v>
      </c>
      <c r="F173" s="39"/>
      <c r="G173" s="39">
        <v>180.4</v>
      </c>
      <c r="H173" s="36">
        <f t="shared" si="18"/>
        <v>180.4</v>
      </c>
      <c r="J173" s="36">
        <v>0.90200000000000002</v>
      </c>
      <c r="K173" s="36">
        <f t="shared" si="19"/>
        <v>902</v>
      </c>
    </row>
    <row r="174" spans="1:11" x14ac:dyDescent="0.2">
      <c r="A174" s="38">
        <v>2010</v>
      </c>
      <c r="B174" s="38" t="s">
        <v>186</v>
      </c>
      <c r="C174" s="38" t="s">
        <v>43</v>
      </c>
      <c r="D174" s="38" t="s">
        <v>256</v>
      </c>
      <c r="E174" s="38">
        <v>212</v>
      </c>
      <c r="F174" s="38"/>
      <c r="G174" s="38">
        <v>42.400000000000006</v>
      </c>
      <c r="H174" s="36">
        <f t="shared" si="18"/>
        <v>42.400000000000006</v>
      </c>
      <c r="J174" s="36">
        <v>0.21199999999999999</v>
      </c>
      <c r="K174" s="36">
        <f t="shared" si="19"/>
        <v>212</v>
      </c>
    </row>
    <row r="175" spans="1:11" x14ac:dyDescent="0.2">
      <c r="A175" s="39">
        <v>2010</v>
      </c>
      <c r="B175" s="39" t="s">
        <v>186</v>
      </c>
      <c r="C175" s="39" t="s">
        <v>43</v>
      </c>
      <c r="D175" s="39" t="s">
        <v>257</v>
      </c>
      <c r="E175" s="39">
        <v>30</v>
      </c>
      <c r="F175" s="39"/>
      <c r="G175" s="39">
        <v>6</v>
      </c>
      <c r="H175" s="36">
        <f t="shared" si="18"/>
        <v>6</v>
      </c>
      <c r="J175" s="36">
        <v>0.03</v>
      </c>
      <c r="K175" s="36">
        <f t="shared" si="19"/>
        <v>30</v>
      </c>
    </row>
    <row r="176" spans="1:11" x14ac:dyDescent="0.2">
      <c r="A176" s="38"/>
      <c r="B176" s="38"/>
      <c r="C176" s="38"/>
      <c r="D176" s="38"/>
      <c r="E176" s="38"/>
      <c r="F176" s="38"/>
      <c r="G176" s="38"/>
      <c r="K176" s="36">
        <f>SUM(K156:K175)</f>
        <v>562652</v>
      </c>
    </row>
    <row r="177" spans="1:11" x14ac:dyDescent="0.2">
      <c r="A177" s="38">
        <v>2015</v>
      </c>
      <c r="B177" s="38" t="s">
        <v>186</v>
      </c>
      <c r="C177" s="38" t="s">
        <v>43</v>
      </c>
      <c r="D177" s="38" t="s">
        <v>187</v>
      </c>
      <c r="E177" s="38">
        <v>71927</v>
      </c>
      <c r="F177" s="38"/>
      <c r="G177" s="38">
        <v>14385.400000000001</v>
      </c>
      <c r="H177" s="36">
        <f t="shared" ref="H177:H196" si="20">0.2*E177</f>
        <v>14385.400000000001</v>
      </c>
      <c r="J177" s="36">
        <v>71.927000000000007</v>
      </c>
      <c r="K177" s="36">
        <f t="shared" ref="K177:K196" si="21">1000*J177</f>
        <v>71927</v>
      </c>
    </row>
    <row r="178" spans="1:11" x14ac:dyDescent="0.2">
      <c r="A178" s="39">
        <v>2015</v>
      </c>
      <c r="B178" s="39" t="s">
        <v>186</v>
      </c>
      <c r="C178" s="39" t="s">
        <v>43</v>
      </c>
      <c r="D178" s="39" t="s">
        <v>188</v>
      </c>
      <c r="E178" s="39">
        <v>74033</v>
      </c>
      <c r="F178" s="39"/>
      <c r="G178" s="39">
        <v>14806.6</v>
      </c>
      <c r="H178" s="36">
        <f t="shared" si="20"/>
        <v>14806.6</v>
      </c>
      <c r="J178" s="36">
        <v>74.033000000000001</v>
      </c>
      <c r="K178" s="36">
        <f t="shared" si="21"/>
        <v>74033</v>
      </c>
    </row>
    <row r="179" spans="1:11" x14ac:dyDescent="0.2">
      <c r="A179" s="38">
        <v>2015</v>
      </c>
      <c r="B179" s="38" t="s">
        <v>186</v>
      </c>
      <c r="C179" s="38" t="s">
        <v>43</v>
      </c>
      <c r="D179" s="38" t="s">
        <v>189</v>
      </c>
      <c r="E179" s="38">
        <v>68931</v>
      </c>
      <c r="F179" s="38"/>
      <c r="G179" s="38">
        <v>13786.2</v>
      </c>
      <c r="H179" s="36">
        <f t="shared" si="20"/>
        <v>13786.2</v>
      </c>
      <c r="J179" s="36">
        <v>68.930999999999997</v>
      </c>
      <c r="K179" s="36">
        <f t="shared" si="21"/>
        <v>68931</v>
      </c>
    </row>
    <row r="180" spans="1:11" x14ac:dyDescent="0.2">
      <c r="A180" s="39">
        <v>2015</v>
      </c>
      <c r="B180" s="39" t="s">
        <v>186</v>
      </c>
      <c r="C180" s="39" t="s">
        <v>43</v>
      </c>
      <c r="D180" s="39" t="s">
        <v>176</v>
      </c>
      <c r="E180" s="39">
        <v>63768</v>
      </c>
      <c r="F180" s="39"/>
      <c r="G180" s="39">
        <v>12753.6</v>
      </c>
      <c r="H180" s="36">
        <f t="shared" si="20"/>
        <v>12753.6</v>
      </c>
      <c r="J180" s="36">
        <v>63.768000000000001</v>
      </c>
      <c r="K180" s="36">
        <f t="shared" si="21"/>
        <v>63768</v>
      </c>
    </row>
    <row r="181" spans="1:11" x14ac:dyDescent="0.2">
      <c r="A181" s="38">
        <v>2015</v>
      </c>
      <c r="B181" s="38" t="s">
        <v>186</v>
      </c>
      <c r="C181" s="38" t="s">
        <v>43</v>
      </c>
      <c r="D181" s="38" t="s">
        <v>177</v>
      </c>
      <c r="E181" s="38">
        <v>57982</v>
      </c>
      <c r="F181" s="38"/>
      <c r="G181" s="38">
        <v>11596.400000000001</v>
      </c>
      <c r="H181" s="36">
        <f t="shared" si="20"/>
        <v>11596.400000000001</v>
      </c>
      <c r="J181" s="36">
        <v>57.981999999999999</v>
      </c>
      <c r="K181" s="36">
        <f t="shared" si="21"/>
        <v>57982</v>
      </c>
    </row>
    <row r="182" spans="1:11" x14ac:dyDescent="0.2">
      <c r="A182" s="39">
        <v>2015</v>
      </c>
      <c r="B182" s="39" t="s">
        <v>186</v>
      </c>
      <c r="C182" s="39" t="s">
        <v>43</v>
      </c>
      <c r="D182" s="39" t="s">
        <v>178</v>
      </c>
      <c r="E182" s="39">
        <v>49046</v>
      </c>
      <c r="F182" s="39"/>
      <c r="G182" s="39">
        <v>9809.2000000000007</v>
      </c>
      <c r="H182" s="36">
        <f t="shared" si="20"/>
        <v>9809.2000000000007</v>
      </c>
      <c r="J182" s="36">
        <v>49.045999999999999</v>
      </c>
      <c r="K182" s="36">
        <f t="shared" si="21"/>
        <v>49046</v>
      </c>
    </row>
    <row r="183" spans="1:11" x14ac:dyDescent="0.2">
      <c r="A183" s="38">
        <v>2015</v>
      </c>
      <c r="B183" s="38" t="s">
        <v>186</v>
      </c>
      <c r="C183" s="38" t="s">
        <v>43</v>
      </c>
      <c r="D183" s="38" t="s">
        <v>179</v>
      </c>
      <c r="E183" s="38">
        <v>44733</v>
      </c>
      <c r="F183" s="38"/>
      <c r="G183" s="38">
        <v>8946.6</v>
      </c>
      <c r="H183" s="36">
        <f t="shared" si="20"/>
        <v>8946.6</v>
      </c>
      <c r="J183" s="36">
        <v>44.732999999999997</v>
      </c>
      <c r="K183" s="36">
        <f t="shared" si="21"/>
        <v>44733</v>
      </c>
    </row>
    <row r="184" spans="1:11" x14ac:dyDescent="0.2">
      <c r="A184" s="39">
        <v>2015</v>
      </c>
      <c r="B184" s="39" t="s">
        <v>186</v>
      </c>
      <c r="C184" s="39" t="s">
        <v>43</v>
      </c>
      <c r="D184" s="39" t="s">
        <v>180</v>
      </c>
      <c r="E184" s="39">
        <v>36461</v>
      </c>
      <c r="F184" s="39"/>
      <c r="G184" s="39">
        <v>7292.2000000000007</v>
      </c>
      <c r="H184" s="36">
        <f t="shared" si="20"/>
        <v>7292.2000000000007</v>
      </c>
      <c r="J184" s="36">
        <v>36.460999999999999</v>
      </c>
      <c r="K184" s="36">
        <f t="shared" si="21"/>
        <v>36461</v>
      </c>
    </row>
    <row r="185" spans="1:11" x14ac:dyDescent="0.2">
      <c r="A185" s="38">
        <v>2015</v>
      </c>
      <c r="B185" s="38" t="s">
        <v>186</v>
      </c>
      <c r="C185" s="38" t="s">
        <v>43</v>
      </c>
      <c r="D185" s="38" t="s">
        <v>181</v>
      </c>
      <c r="E185" s="38">
        <v>27170</v>
      </c>
      <c r="F185" s="38"/>
      <c r="G185" s="38">
        <v>5434</v>
      </c>
      <c r="H185" s="36">
        <f t="shared" si="20"/>
        <v>5434</v>
      </c>
      <c r="J185" s="36">
        <v>27.17</v>
      </c>
      <c r="K185" s="36">
        <f t="shared" si="21"/>
        <v>27170</v>
      </c>
    </row>
    <row r="186" spans="1:11" x14ac:dyDescent="0.2">
      <c r="A186" s="39">
        <v>2015</v>
      </c>
      <c r="B186" s="39" t="s">
        <v>186</v>
      </c>
      <c r="C186" s="39" t="s">
        <v>43</v>
      </c>
      <c r="D186" s="39" t="s">
        <v>182</v>
      </c>
      <c r="E186" s="39">
        <v>16945</v>
      </c>
      <c r="F186" s="39"/>
      <c r="G186" s="39">
        <v>3389</v>
      </c>
      <c r="H186" s="36">
        <f t="shared" si="20"/>
        <v>3389</v>
      </c>
      <c r="J186" s="36">
        <v>16.945</v>
      </c>
      <c r="K186" s="36">
        <f t="shared" si="21"/>
        <v>16945</v>
      </c>
    </row>
    <row r="187" spans="1:11" x14ac:dyDescent="0.2">
      <c r="A187" s="38">
        <v>2015</v>
      </c>
      <c r="B187" s="38" t="s">
        <v>186</v>
      </c>
      <c r="C187" s="38" t="s">
        <v>43</v>
      </c>
      <c r="D187" s="38" t="s">
        <v>183</v>
      </c>
      <c r="E187" s="38">
        <v>11880</v>
      </c>
      <c r="F187" s="38"/>
      <c r="G187" s="38">
        <v>2376</v>
      </c>
      <c r="H187" s="36">
        <f t="shared" si="20"/>
        <v>2376</v>
      </c>
      <c r="J187" s="36">
        <v>11.88</v>
      </c>
      <c r="K187" s="36">
        <f t="shared" si="21"/>
        <v>11880</v>
      </c>
    </row>
    <row r="188" spans="1:11" x14ac:dyDescent="0.2">
      <c r="A188" s="39">
        <v>2015</v>
      </c>
      <c r="B188" s="39" t="s">
        <v>186</v>
      </c>
      <c r="C188" s="39" t="s">
        <v>43</v>
      </c>
      <c r="D188" s="39" t="s">
        <v>184</v>
      </c>
      <c r="E188" s="39">
        <v>10270</v>
      </c>
      <c r="F188" s="39"/>
      <c r="G188" s="39">
        <v>2054</v>
      </c>
      <c r="H188" s="36">
        <f t="shared" si="20"/>
        <v>2054</v>
      </c>
      <c r="J188" s="36">
        <v>10.27</v>
      </c>
      <c r="K188" s="36">
        <f t="shared" si="21"/>
        <v>10270</v>
      </c>
    </row>
    <row r="189" spans="1:11" x14ac:dyDescent="0.2">
      <c r="A189" s="38">
        <v>2015</v>
      </c>
      <c r="B189" s="38" t="s">
        <v>186</v>
      </c>
      <c r="C189" s="38" t="s">
        <v>43</v>
      </c>
      <c r="D189" s="38" t="s">
        <v>185</v>
      </c>
      <c r="E189" s="38">
        <v>10367</v>
      </c>
      <c r="F189" s="38"/>
      <c r="G189" s="38">
        <v>2073.4</v>
      </c>
      <c r="H189" s="36">
        <f t="shared" si="20"/>
        <v>2073.4</v>
      </c>
      <c r="J189" s="36">
        <v>10.367000000000001</v>
      </c>
      <c r="K189" s="36">
        <f t="shared" si="21"/>
        <v>10367</v>
      </c>
    </row>
    <row r="190" spans="1:11" x14ac:dyDescent="0.2">
      <c r="A190" s="39">
        <v>2015</v>
      </c>
      <c r="B190" s="39" t="s">
        <v>186</v>
      </c>
      <c r="C190" s="39" t="s">
        <v>43</v>
      </c>
      <c r="D190" s="39" t="s">
        <v>190</v>
      </c>
      <c r="E190" s="39">
        <v>9868</v>
      </c>
      <c r="F190" s="39"/>
      <c r="G190" s="39">
        <v>1973.6000000000001</v>
      </c>
      <c r="H190" s="36">
        <f t="shared" si="20"/>
        <v>1973.6000000000001</v>
      </c>
      <c r="J190" s="36">
        <v>9.8680000000000003</v>
      </c>
      <c r="K190" s="36">
        <f t="shared" si="21"/>
        <v>9868</v>
      </c>
    </row>
    <row r="191" spans="1:11" x14ac:dyDescent="0.2">
      <c r="A191" s="38">
        <v>2015</v>
      </c>
      <c r="B191" s="38" t="s">
        <v>186</v>
      </c>
      <c r="C191" s="38" t="s">
        <v>43</v>
      </c>
      <c r="D191" s="38" t="s">
        <v>191</v>
      </c>
      <c r="E191" s="38">
        <v>7911</v>
      </c>
      <c r="F191" s="38"/>
      <c r="G191" s="38">
        <v>1582.2</v>
      </c>
      <c r="H191" s="36">
        <f t="shared" si="20"/>
        <v>1582.2</v>
      </c>
      <c r="J191" s="36">
        <v>7.9109999999999996</v>
      </c>
      <c r="K191" s="36">
        <f t="shared" si="21"/>
        <v>7911</v>
      </c>
    </row>
    <row r="192" spans="1:11" x14ac:dyDescent="0.2">
      <c r="A192" s="39">
        <v>2015</v>
      </c>
      <c r="B192" s="39" t="s">
        <v>186</v>
      </c>
      <c r="C192" s="39" t="s">
        <v>43</v>
      </c>
      <c r="D192" s="39" t="s">
        <v>192</v>
      </c>
      <c r="E192" s="39">
        <v>5740</v>
      </c>
      <c r="F192" s="39"/>
      <c r="G192" s="39">
        <v>1148</v>
      </c>
      <c r="H192" s="36">
        <f t="shared" si="20"/>
        <v>1148</v>
      </c>
      <c r="J192" s="36">
        <v>5.74</v>
      </c>
      <c r="K192" s="36">
        <f t="shared" si="21"/>
        <v>5740</v>
      </c>
    </row>
    <row r="193" spans="1:11" x14ac:dyDescent="0.2">
      <c r="A193" s="39">
        <v>2015</v>
      </c>
      <c r="B193" s="39" t="s">
        <v>186</v>
      </c>
      <c r="C193" s="39" t="s">
        <v>43</v>
      </c>
      <c r="D193" s="39" t="s">
        <v>254</v>
      </c>
      <c r="E193" s="39">
        <v>3214</v>
      </c>
      <c r="F193" s="39"/>
      <c r="G193" s="39">
        <v>642.80000000000007</v>
      </c>
      <c r="H193" s="36">
        <f t="shared" si="20"/>
        <v>642.80000000000007</v>
      </c>
      <c r="J193" s="36">
        <v>3.214</v>
      </c>
      <c r="K193" s="36">
        <f t="shared" si="21"/>
        <v>3214</v>
      </c>
    </row>
    <row r="194" spans="1:11" x14ac:dyDescent="0.2">
      <c r="A194" s="38">
        <v>2015</v>
      </c>
      <c r="B194" s="38" t="s">
        <v>186</v>
      </c>
      <c r="C194" s="38" t="s">
        <v>43</v>
      </c>
      <c r="D194" s="38" t="s">
        <v>255</v>
      </c>
      <c r="E194" s="38">
        <v>1233</v>
      </c>
      <c r="F194" s="38"/>
      <c r="G194" s="38">
        <v>246.60000000000002</v>
      </c>
      <c r="H194" s="36">
        <f t="shared" si="20"/>
        <v>246.60000000000002</v>
      </c>
      <c r="J194" s="36">
        <v>1.2330000000000001</v>
      </c>
      <c r="K194" s="36">
        <f t="shared" si="21"/>
        <v>1233</v>
      </c>
    </row>
    <row r="195" spans="1:11" x14ac:dyDescent="0.2">
      <c r="A195" s="39">
        <v>2015</v>
      </c>
      <c r="B195" s="39" t="s">
        <v>186</v>
      </c>
      <c r="C195" s="39" t="s">
        <v>43</v>
      </c>
      <c r="D195" s="39" t="s">
        <v>256</v>
      </c>
      <c r="E195" s="39">
        <v>283</v>
      </c>
      <c r="F195" s="39"/>
      <c r="G195" s="39">
        <v>56.6</v>
      </c>
      <c r="H195" s="36">
        <f t="shared" si="20"/>
        <v>56.6</v>
      </c>
      <c r="J195" s="36">
        <v>0.28299999999999997</v>
      </c>
      <c r="K195" s="36">
        <f t="shared" si="21"/>
        <v>283</v>
      </c>
    </row>
    <row r="196" spans="1:11" x14ac:dyDescent="0.2">
      <c r="A196" s="38">
        <v>2015</v>
      </c>
      <c r="B196" s="38" t="s">
        <v>186</v>
      </c>
      <c r="C196" s="38" t="s">
        <v>43</v>
      </c>
      <c r="D196" s="38" t="s">
        <v>257</v>
      </c>
      <c r="E196" s="38">
        <v>41</v>
      </c>
      <c r="F196" s="38"/>
      <c r="G196" s="38">
        <v>8.2000000000000011</v>
      </c>
      <c r="H196" s="36">
        <f t="shared" si="20"/>
        <v>8.2000000000000011</v>
      </c>
      <c r="J196" s="36">
        <v>4.1000000000000002E-2</v>
      </c>
      <c r="K196" s="36">
        <f t="shared" si="21"/>
        <v>41</v>
      </c>
    </row>
    <row r="197" spans="1:11" x14ac:dyDescent="0.2">
      <c r="A197" s="39"/>
      <c r="B197" s="39"/>
      <c r="C197" s="39"/>
      <c r="D197" s="39"/>
      <c r="E197" s="39"/>
      <c r="F197" s="39"/>
      <c r="G197" s="39"/>
      <c r="K197" s="36">
        <f>SUM(K177:K196)</f>
        <v>571803</v>
      </c>
    </row>
    <row r="198" spans="1:11" x14ac:dyDescent="0.2">
      <c r="A198" s="38">
        <v>2020</v>
      </c>
      <c r="B198" s="38" t="s">
        <v>186</v>
      </c>
      <c r="C198" s="38" t="s">
        <v>43</v>
      </c>
      <c r="D198" s="38" t="s">
        <v>187</v>
      </c>
      <c r="E198" s="38">
        <v>71155</v>
      </c>
      <c r="F198" s="38"/>
      <c r="G198" s="38">
        <v>14231</v>
      </c>
      <c r="H198" s="36">
        <f t="shared" ref="H198:H217" si="22">0.2*E198</f>
        <v>14231</v>
      </c>
      <c r="J198" s="36">
        <v>71.155000000000001</v>
      </c>
      <c r="K198" s="36">
        <f t="shared" ref="K198:K217" si="23">1000*J198</f>
        <v>71155</v>
      </c>
    </row>
    <row r="199" spans="1:11" x14ac:dyDescent="0.2">
      <c r="A199" s="39">
        <v>2020</v>
      </c>
      <c r="B199" s="39" t="s">
        <v>186</v>
      </c>
      <c r="C199" s="39" t="s">
        <v>43</v>
      </c>
      <c r="D199" s="39" t="s">
        <v>188</v>
      </c>
      <c r="E199" s="39">
        <v>70984</v>
      </c>
      <c r="F199" s="39"/>
      <c r="G199" s="39">
        <v>14196.800000000001</v>
      </c>
      <c r="H199" s="36">
        <f t="shared" si="22"/>
        <v>14196.800000000001</v>
      </c>
      <c r="J199" s="36">
        <v>70.983999999999995</v>
      </c>
      <c r="K199" s="36">
        <f t="shared" si="23"/>
        <v>70984</v>
      </c>
    </row>
    <row r="200" spans="1:11" x14ac:dyDescent="0.2">
      <c r="A200" s="38">
        <v>2020</v>
      </c>
      <c r="B200" s="38" t="s">
        <v>186</v>
      </c>
      <c r="C200" s="38" t="s">
        <v>43</v>
      </c>
      <c r="D200" s="38" t="s">
        <v>189</v>
      </c>
      <c r="E200" s="38">
        <v>73683</v>
      </c>
      <c r="F200" s="38"/>
      <c r="G200" s="38">
        <v>14736.6</v>
      </c>
      <c r="H200" s="36">
        <f t="shared" si="22"/>
        <v>14736.6</v>
      </c>
      <c r="J200" s="36">
        <v>73.683000000000007</v>
      </c>
      <c r="K200" s="36">
        <f t="shared" si="23"/>
        <v>73683</v>
      </c>
    </row>
    <row r="201" spans="1:11" x14ac:dyDescent="0.2">
      <c r="A201" s="39">
        <v>2020</v>
      </c>
      <c r="B201" s="39" t="s">
        <v>186</v>
      </c>
      <c r="C201" s="39" t="s">
        <v>43</v>
      </c>
      <c r="D201" s="39" t="s">
        <v>176</v>
      </c>
      <c r="E201" s="39">
        <v>63873</v>
      </c>
      <c r="F201" s="39"/>
      <c r="G201" s="39">
        <v>12774.6</v>
      </c>
      <c r="H201" s="36">
        <f t="shared" si="22"/>
        <v>12774.6</v>
      </c>
      <c r="J201" s="36">
        <v>63.872999999999998</v>
      </c>
      <c r="K201" s="36">
        <f t="shared" si="23"/>
        <v>63873</v>
      </c>
    </row>
    <row r="202" spans="1:11" x14ac:dyDescent="0.2">
      <c r="A202" s="38">
        <v>2020</v>
      </c>
      <c r="B202" s="38" t="s">
        <v>186</v>
      </c>
      <c r="C202" s="38" t="s">
        <v>43</v>
      </c>
      <c r="D202" s="38" t="s">
        <v>177</v>
      </c>
      <c r="E202" s="38">
        <v>54059</v>
      </c>
      <c r="F202" s="38"/>
      <c r="G202" s="38">
        <v>10811.800000000001</v>
      </c>
      <c r="H202" s="36">
        <f t="shared" si="22"/>
        <v>10811.800000000001</v>
      </c>
      <c r="J202" s="36">
        <v>54.058999999999997</v>
      </c>
      <c r="K202" s="36">
        <f t="shared" si="23"/>
        <v>54059</v>
      </c>
    </row>
    <row r="203" spans="1:11" x14ac:dyDescent="0.2">
      <c r="A203" s="39">
        <v>2020</v>
      </c>
      <c r="B203" s="39" t="s">
        <v>186</v>
      </c>
      <c r="C203" s="39" t="s">
        <v>43</v>
      </c>
      <c r="D203" s="39" t="s">
        <v>178</v>
      </c>
      <c r="E203" s="39">
        <v>48320</v>
      </c>
      <c r="F203" s="39"/>
      <c r="G203" s="39">
        <v>9664</v>
      </c>
      <c r="H203" s="36">
        <f t="shared" si="22"/>
        <v>9664</v>
      </c>
      <c r="J203" s="36">
        <v>48.32</v>
      </c>
      <c r="K203" s="36">
        <f t="shared" si="23"/>
        <v>48320</v>
      </c>
    </row>
    <row r="204" spans="1:11" x14ac:dyDescent="0.2">
      <c r="A204" s="38">
        <v>2020</v>
      </c>
      <c r="B204" s="38" t="s">
        <v>186</v>
      </c>
      <c r="C204" s="38" t="s">
        <v>43</v>
      </c>
      <c r="D204" s="38" t="s">
        <v>179</v>
      </c>
      <c r="E204" s="38">
        <v>44471</v>
      </c>
      <c r="F204" s="38"/>
      <c r="G204" s="38">
        <v>8894.2000000000007</v>
      </c>
      <c r="H204" s="36">
        <f t="shared" si="22"/>
        <v>8894.2000000000007</v>
      </c>
      <c r="J204" s="36">
        <v>44.470999999999997</v>
      </c>
      <c r="K204" s="36">
        <f t="shared" si="23"/>
        <v>44471</v>
      </c>
    </row>
    <row r="205" spans="1:11" x14ac:dyDescent="0.2">
      <c r="A205" s="39">
        <v>2020</v>
      </c>
      <c r="B205" s="39" t="s">
        <v>186</v>
      </c>
      <c r="C205" s="39" t="s">
        <v>43</v>
      </c>
      <c r="D205" s="39" t="s">
        <v>180</v>
      </c>
      <c r="E205" s="39">
        <v>44737</v>
      </c>
      <c r="F205" s="39"/>
      <c r="G205" s="39">
        <v>8947.4</v>
      </c>
      <c r="H205" s="36">
        <f t="shared" si="22"/>
        <v>8947.4</v>
      </c>
      <c r="J205" s="36">
        <v>44.737000000000002</v>
      </c>
      <c r="K205" s="36">
        <f t="shared" si="23"/>
        <v>44737</v>
      </c>
    </row>
    <row r="206" spans="1:11" x14ac:dyDescent="0.2">
      <c r="A206" s="38">
        <v>2020</v>
      </c>
      <c r="B206" s="38" t="s">
        <v>186</v>
      </c>
      <c r="C206" s="38" t="s">
        <v>43</v>
      </c>
      <c r="D206" s="38" t="s">
        <v>181</v>
      </c>
      <c r="E206" s="38">
        <v>33949</v>
      </c>
      <c r="F206" s="38"/>
      <c r="G206" s="38">
        <v>6789.8</v>
      </c>
      <c r="H206" s="36">
        <f t="shared" si="22"/>
        <v>6789.8</v>
      </c>
      <c r="J206" s="36">
        <v>33.948999999999998</v>
      </c>
      <c r="K206" s="36">
        <f t="shared" si="23"/>
        <v>33949</v>
      </c>
    </row>
    <row r="207" spans="1:11" x14ac:dyDescent="0.2">
      <c r="A207" s="39">
        <v>2020</v>
      </c>
      <c r="B207" s="39" t="s">
        <v>186</v>
      </c>
      <c r="C207" s="39" t="s">
        <v>43</v>
      </c>
      <c r="D207" s="39" t="s">
        <v>182</v>
      </c>
      <c r="E207" s="39">
        <v>22424</v>
      </c>
      <c r="F207" s="39"/>
      <c r="G207" s="39">
        <v>4484.8</v>
      </c>
      <c r="H207" s="36">
        <f t="shared" si="22"/>
        <v>4484.8</v>
      </c>
      <c r="J207" s="36">
        <v>22.423999999999999</v>
      </c>
      <c r="K207" s="36">
        <f t="shared" si="23"/>
        <v>22424</v>
      </c>
    </row>
    <row r="208" spans="1:11" x14ac:dyDescent="0.2">
      <c r="A208" s="38">
        <v>2020</v>
      </c>
      <c r="B208" s="38" t="s">
        <v>186</v>
      </c>
      <c r="C208" s="38" t="s">
        <v>43</v>
      </c>
      <c r="D208" s="38" t="s">
        <v>183</v>
      </c>
      <c r="E208" s="38">
        <v>12971</v>
      </c>
      <c r="F208" s="38"/>
      <c r="G208" s="38">
        <v>2594.2000000000003</v>
      </c>
      <c r="H208" s="36">
        <f t="shared" si="22"/>
        <v>2594.2000000000003</v>
      </c>
      <c r="J208" s="36">
        <v>12.971</v>
      </c>
      <c r="K208" s="36">
        <f t="shared" si="23"/>
        <v>12971</v>
      </c>
    </row>
    <row r="209" spans="1:11" x14ac:dyDescent="0.2">
      <c r="A209" s="39">
        <v>2020</v>
      </c>
      <c r="B209" s="39" t="s">
        <v>186</v>
      </c>
      <c r="C209" s="39" t="s">
        <v>43</v>
      </c>
      <c r="D209" s="39" t="s">
        <v>184</v>
      </c>
      <c r="E209" s="39">
        <v>9997</v>
      </c>
      <c r="F209" s="39"/>
      <c r="G209" s="39">
        <v>1999.4</v>
      </c>
      <c r="H209" s="36">
        <f t="shared" si="22"/>
        <v>1999.4</v>
      </c>
      <c r="J209" s="36">
        <v>9.9969999999999999</v>
      </c>
      <c r="K209" s="36">
        <f t="shared" si="23"/>
        <v>9997</v>
      </c>
    </row>
    <row r="210" spans="1:11" x14ac:dyDescent="0.2">
      <c r="A210" s="38">
        <v>2020</v>
      </c>
      <c r="B210" s="38" t="s">
        <v>186</v>
      </c>
      <c r="C210" s="38" t="s">
        <v>43</v>
      </c>
      <c r="D210" s="38" t="s">
        <v>185</v>
      </c>
      <c r="E210" s="38">
        <v>9663</v>
      </c>
      <c r="F210" s="38"/>
      <c r="G210" s="38">
        <v>1932.6000000000001</v>
      </c>
      <c r="H210" s="36">
        <f t="shared" si="22"/>
        <v>1932.6000000000001</v>
      </c>
      <c r="J210" s="36">
        <v>9.6630000000000003</v>
      </c>
      <c r="K210" s="36">
        <f t="shared" si="23"/>
        <v>9663</v>
      </c>
    </row>
    <row r="211" spans="1:11" x14ac:dyDescent="0.2">
      <c r="A211" s="39">
        <v>2020</v>
      </c>
      <c r="B211" s="39" t="s">
        <v>186</v>
      </c>
      <c r="C211" s="39" t="s">
        <v>43</v>
      </c>
      <c r="D211" s="39" t="s">
        <v>190</v>
      </c>
      <c r="E211" s="39">
        <v>9478</v>
      </c>
      <c r="F211" s="39"/>
      <c r="G211" s="39">
        <v>1895.6000000000001</v>
      </c>
      <c r="H211" s="36">
        <f t="shared" si="22"/>
        <v>1895.6000000000001</v>
      </c>
      <c r="J211" s="36">
        <v>9.4779999999999998</v>
      </c>
      <c r="K211" s="36">
        <f t="shared" si="23"/>
        <v>9478</v>
      </c>
    </row>
    <row r="212" spans="1:11" x14ac:dyDescent="0.2">
      <c r="A212" s="38">
        <v>2020</v>
      </c>
      <c r="B212" s="38" t="s">
        <v>186</v>
      </c>
      <c r="C212" s="38" t="s">
        <v>43</v>
      </c>
      <c r="D212" s="38" t="s">
        <v>191</v>
      </c>
      <c r="E212" s="38">
        <v>8467</v>
      </c>
      <c r="F212" s="38"/>
      <c r="G212" s="38">
        <v>1693.4</v>
      </c>
      <c r="H212" s="36">
        <f t="shared" si="22"/>
        <v>1693.4</v>
      </c>
      <c r="J212" s="36">
        <v>8.4670000000000005</v>
      </c>
      <c r="K212" s="36">
        <f t="shared" si="23"/>
        <v>8467</v>
      </c>
    </row>
    <row r="213" spans="1:11" x14ac:dyDescent="0.2">
      <c r="A213" s="39">
        <v>2020</v>
      </c>
      <c r="B213" s="39" t="s">
        <v>186</v>
      </c>
      <c r="C213" s="39" t="s">
        <v>43</v>
      </c>
      <c r="D213" s="39" t="s">
        <v>192</v>
      </c>
      <c r="E213" s="39">
        <v>6145</v>
      </c>
      <c r="F213" s="39"/>
      <c r="G213" s="39">
        <v>1229</v>
      </c>
      <c r="H213" s="36">
        <f t="shared" si="22"/>
        <v>1229</v>
      </c>
      <c r="J213" s="36">
        <v>6.1449999999999996</v>
      </c>
      <c r="K213" s="36">
        <f t="shared" si="23"/>
        <v>6145</v>
      </c>
    </row>
    <row r="214" spans="1:11" x14ac:dyDescent="0.2">
      <c r="A214" s="38">
        <v>2020</v>
      </c>
      <c r="B214" s="38" t="s">
        <v>186</v>
      </c>
      <c r="C214" s="38" t="s">
        <v>43</v>
      </c>
      <c r="D214" s="38" t="s">
        <v>254</v>
      </c>
      <c r="E214" s="38">
        <v>3726</v>
      </c>
      <c r="F214" s="38"/>
      <c r="G214" s="38">
        <v>745.2</v>
      </c>
      <c r="H214" s="36">
        <f t="shared" si="22"/>
        <v>745.2</v>
      </c>
      <c r="J214" s="36">
        <v>3.726</v>
      </c>
      <c r="K214" s="36">
        <f t="shared" si="23"/>
        <v>3726</v>
      </c>
    </row>
    <row r="215" spans="1:11" x14ac:dyDescent="0.2">
      <c r="A215" s="39">
        <v>2020</v>
      </c>
      <c r="B215" s="39" t="s">
        <v>186</v>
      </c>
      <c r="C215" s="39" t="s">
        <v>43</v>
      </c>
      <c r="D215" s="39" t="s">
        <v>255</v>
      </c>
      <c r="E215" s="39">
        <v>1471</v>
      </c>
      <c r="F215" s="39"/>
      <c r="G215" s="39">
        <v>294.2</v>
      </c>
      <c r="H215" s="36">
        <f t="shared" si="22"/>
        <v>294.2</v>
      </c>
      <c r="J215" s="36">
        <v>1.4710000000000001</v>
      </c>
      <c r="K215" s="36">
        <f t="shared" si="23"/>
        <v>1471</v>
      </c>
    </row>
    <row r="216" spans="1:11" x14ac:dyDescent="0.2">
      <c r="A216" s="38">
        <v>2020</v>
      </c>
      <c r="B216" s="38" t="s">
        <v>186</v>
      </c>
      <c r="C216" s="38" t="s">
        <v>43</v>
      </c>
      <c r="D216" s="38" t="s">
        <v>256</v>
      </c>
      <c r="E216" s="38">
        <v>316</v>
      </c>
      <c r="F216" s="38"/>
      <c r="G216" s="38">
        <v>63.2</v>
      </c>
      <c r="H216" s="36">
        <f t="shared" si="22"/>
        <v>63.2</v>
      </c>
      <c r="J216" s="36">
        <v>0.316</v>
      </c>
      <c r="K216" s="36">
        <f t="shared" si="23"/>
        <v>316</v>
      </c>
    </row>
    <row r="217" spans="1:11" x14ac:dyDescent="0.2">
      <c r="A217" s="39">
        <v>2020</v>
      </c>
      <c r="B217" s="39" t="s">
        <v>186</v>
      </c>
      <c r="C217" s="39" t="s">
        <v>43</v>
      </c>
      <c r="D217" s="39" t="s">
        <v>257</v>
      </c>
      <c r="E217" s="39">
        <v>36</v>
      </c>
      <c r="F217" s="39"/>
      <c r="G217" s="39">
        <v>7.2</v>
      </c>
      <c r="H217" s="36">
        <f t="shared" si="22"/>
        <v>7.2</v>
      </c>
      <c r="J217" s="36">
        <v>3.5999999999999997E-2</v>
      </c>
      <c r="K217" s="36">
        <f t="shared" si="23"/>
        <v>36</v>
      </c>
    </row>
    <row r="218" spans="1:11" x14ac:dyDescent="0.2">
      <c r="A218" s="38"/>
      <c r="B218" s="38"/>
      <c r="C218" s="38"/>
      <c r="D218" s="38"/>
      <c r="E218" s="38"/>
      <c r="F218" s="38"/>
      <c r="G218" s="38"/>
      <c r="K218" s="36">
        <f>SUM(K198:K217)</f>
        <v>589925</v>
      </c>
    </row>
    <row r="219" spans="1:11" x14ac:dyDescent="0.2">
      <c r="A219" s="39"/>
      <c r="B219" s="39"/>
      <c r="C219" s="39"/>
      <c r="D219" s="39"/>
      <c r="E219" s="39"/>
      <c r="F219" s="39"/>
      <c r="G219" s="39"/>
    </row>
    <row r="220" spans="1:11" x14ac:dyDescent="0.2">
      <c r="A220" s="38"/>
      <c r="B220" s="38"/>
      <c r="C220" s="38"/>
      <c r="D220" s="38"/>
      <c r="E220" s="38"/>
      <c r="F220" s="38"/>
      <c r="G220" s="38"/>
    </row>
    <row r="221" spans="1:11" x14ac:dyDescent="0.2">
      <c r="A221" s="39"/>
      <c r="B221" s="39"/>
      <c r="C221" s="39"/>
      <c r="D221" s="39"/>
      <c r="E221" s="39"/>
      <c r="F221" s="39"/>
      <c r="G221" s="39"/>
    </row>
    <row r="222" spans="1:11" x14ac:dyDescent="0.2">
      <c r="A222" s="38"/>
      <c r="B222" s="38"/>
      <c r="C222" s="38"/>
      <c r="D222" s="38"/>
      <c r="E222" s="38"/>
      <c r="F222" s="38"/>
      <c r="G222" s="38"/>
    </row>
    <row r="223" spans="1:11" x14ac:dyDescent="0.2">
      <c r="A223" s="39"/>
      <c r="B223" s="39"/>
      <c r="C223" s="39"/>
      <c r="D223" s="39"/>
      <c r="E223" s="39"/>
      <c r="F223" s="39"/>
      <c r="G223" s="39"/>
    </row>
    <row r="224" spans="1:11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2024-04-25T15:51:48Z</dcterms:modified>
</cp:coreProperties>
</file>